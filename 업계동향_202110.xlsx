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1570" windowHeight="8010"/>
  </bookViews>
  <sheets>
    <sheet name="2021.10" sheetId="1" r:id="rId1"/>
  </sheets>
  <definedNames>
    <definedName name="_xlnm.Print_Area" localSheetId="0">'2021.10'!$A$1:$I$184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4" i="1" l="1"/>
  <c r="D134" i="1"/>
  <c r="C134" i="1"/>
  <c r="B134" i="1"/>
  <c r="C125" i="1"/>
  <c r="B125" i="1"/>
  <c r="D123" i="1"/>
  <c r="C122" i="1"/>
  <c r="B122" i="1"/>
  <c r="D120" i="1"/>
  <c r="C119" i="1"/>
  <c r="B119" i="1"/>
  <c r="D117" i="1"/>
  <c r="C116" i="1"/>
  <c r="B116" i="1"/>
  <c r="D114" i="1" s="1"/>
  <c r="C113" i="1"/>
  <c r="B113" i="1"/>
  <c r="D111" i="1"/>
  <c r="C110" i="1"/>
  <c r="B110" i="1"/>
  <c r="D108" i="1"/>
  <c r="C107" i="1"/>
  <c r="B107" i="1"/>
  <c r="D105" i="1" s="1"/>
  <c r="C104" i="1"/>
  <c r="B104" i="1"/>
  <c r="D102" i="1"/>
  <c r="C101" i="1"/>
  <c r="B101" i="1"/>
  <c r="D99" i="1"/>
  <c r="C98" i="1"/>
  <c r="B98" i="1"/>
  <c r="D96" i="1" s="1"/>
</calcChain>
</file>

<file path=xl/sharedStrings.xml><?xml version="1.0" encoding="utf-8"?>
<sst xmlns="http://schemas.openxmlformats.org/spreadsheetml/2006/main" count="321" uniqueCount="274">
  <si>
    <r>
      <t xml:space="preserve">통신,방송,광고계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10월 Issue 요약</t>
    </r>
    <phoneticPr fontId="4" type="noConversion"/>
  </si>
  <si>
    <t>★ [국감2021] 방송통신 이슈 ★</t>
    <phoneticPr fontId="4" type="noConversion"/>
  </si>
  <si>
    <t>(1) 올해도 ‘홈쇼핑 공해’ 지적…채널 연번제 다시 논의되나</t>
    <phoneticPr fontId="4" type="noConversion"/>
  </si>
  <si>
    <r>
      <t xml:space="preserve">- 1일 국회 과학기술정보방송통신위원회(과방위)가 진행한 과기정통부 국감中 : 우상호 의원(더불어민주당)은 </t>
    </r>
    <r>
      <rPr>
        <sz val="11"/>
        <color rgb="FFFF0000"/>
        <rFont val="맑은 고딕"/>
        <family val="3"/>
        <charset val="129"/>
        <scheme val="minor"/>
      </rPr>
      <t>“전 세계 어디서 방송-쇼핑-방송-쇼핑 연속 붙이고 연계방송까지 하냐”</t>
    </r>
    <r>
      <rPr>
        <sz val="11"/>
        <color theme="1"/>
        <rFont val="맑은 고딕"/>
        <family val="3"/>
        <charset val="129"/>
        <scheme val="minor"/>
      </rPr>
      <t xml:space="preserve">며 </t>
    </r>
    <r>
      <rPr>
        <sz val="11"/>
        <color rgb="FFFF0000"/>
        <rFont val="맑은 고딕"/>
        <family val="3"/>
        <charset val="129"/>
        <scheme val="minor"/>
      </rPr>
      <t>“외국은 (쇼핑 채널을) 전부 묶어버리거나 별도로 들어가게 한다”</t>
    </r>
    <r>
      <rPr>
        <sz val="11"/>
        <color theme="1"/>
        <rFont val="맑은 고딕"/>
        <family val="3"/>
        <charset val="129"/>
        <scheme val="minor"/>
      </rPr>
      <t>고 지적</t>
    </r>
    <phoneticPr fontId="4" type="noConversion"/>
  </si>
  <si>
    <t>-  “급격히 하면 위험하지만 채널 20~30번 안에 홈쇼핑을 묶고 적어도 20번 밑으로는 순수 콘텐츠를 묶는 채널 연번제를 실시하지 않으면 막을 수 없다”고도 지적</t>
    <phoneticPr fontId="4" type="noConversion"/>
  </si>
  <si>
    <t>(방송채널 구성을 유료방송사업자(SO) 중심이 아닌 소비자주권 중심으로 봐야한다는 주장)</t>
    <phoneticPr fontId="4" type="noConversion"/>
  </si>
  <si>
    <t xml:space="preserve">- 채널 연번제란? </t>
    <phoneticPr fontId="4" type="noConversion"/>
  </si>
  <si>
    <r>
      <rPr>
        <sz val="9.35"/>
        <color theme="1"/>
        <rFont val="맑은 고딕"/>
        <family val="3"/>
        <charset val="129"/>
      </rPr>
      <t xml:space="preserve">&gt;  </t>
    </r>
    <r>
      <rPr>
        <sz val="11"/>
        <color theme="1"/>
        <rFont val="맑은 고딕"/>
        <family val="3"/>
        <charset val="129"/>
        <scheme val="minor"/>
      </rPr>
      <t>홈쇼핑 카테고리를 묶어 일정 번호대에 배치하는 방법으로, 홈쇼핑 채널을 한데 모아 20~30번 안에 둘 경우 시청자들은 낮은 번호대에서 다양한 콘텐츠를 즐길 수 있다는 이점</t>
    </r>
    <phoneticPr fontId="4" type="noConversion"/>
  </si>
  <si>
    <t>&gt; 반면 ‘황금채널’ 의존도가 높은 홈쇼핑 업계가 뒷번호로 밀려날 경우 매출이 감소할 수 있어 쉽게 도입하지 못하는 측면도 있음</t>
    <phoneticPr fontId="4" type="noConversion"/>
  </si>
  <si>
    <t>(2) ‘지상파 공영방송 부가채널 도입법’ 발의</t>
    <phoneticPr fontId="4" type="noConversion"/>
  </si>
  <si>
    <r>
      <t xml:space="preserve">- 정필모 의원(더불어민주당 비례대표)은 : 4일 지상파 공영방송 부가채널을 도입하고, </t>
    </r>
    <r>
      <rPr>
        <sz val="11"/>
        <color rgb="FFFF0000"/>
        <rFont val="맑은 고딕"/>
        <family val="3"/>
        <charset val="129"/>
        <scheme val="minor"/>
      </rPr>
      <t>연이은 채널번호로 동시재송신 하는 방송법 일부개정법률안을 대표발의 (방송법 개정안이 통과되면 지상파를 통한 보편적 시청권 확대는 물론 공영방송의 사회·문화·교육 서비스 기여가 한층 높아질 것으로 기대?)</t>
    </r>
    <phoneticPr fontId="4" type="noConversion"/>
  </si>
  <si>
    <t xml:space="preserve">- 디지털 방송은 영상 압출 기술을 활용해 채널 1개의 주파수 대역을 쪼개 2개 이상의 방송 송출이 가능 </t>
    <phoneticPr fontId="4" type="noConversion"/>
  </si>
  <si>
    <t>&gt; 이미 미국, 영국, 프랑스 등 주요 국가들은 지상파 방송사업자에게 본 채널 이외에도 부가채널을 무료로 송출해 보편적 시청권을 강화하고 다양한 방송 선택권을 보장하고 있다고 함</t>
    <phoneticPr fontId="4" type="noConversion"/>
  </si>
  <si>
    <t>&gt; 그러나 우리나라의 경우 디지털 방송 시대로 전환했음에도 다채널 방송(Multi-Mode-Service, MMS) 법적 지위 부여가 제대로 정비되지 못한 상황 (하여, 現방송통신위원회도 지상파 공영방송 부가채널 도입에 긍정적)</t>
    <phoneticPr fontId="4" type="noConversion"/>
  </si>
  <si>
    <t>- 개정안 통과시 : 015년부터 7년째 시험방송에 머무르고 있는 EBS 2TV 법적 지위 문제도 해결될 수 있음/ EBS 2TV는 코로나 시기 초중고 교과과정에 맞춘 프로그램 편성으로 높은 호응을 받았던 만큼 조속한 정식서비스가 필요하다는 의견이 지속적으로 제기</t>
    <phoneticPr fontId="4" type="noConversion"/>
  </si>
  <si>
    <t>★ 오징어게임·디피 열풍에...드러나는 넷플릭스 K-콘텐츠의 명과 암</t>
    <phoneticPr fontId="4" type="noConversion"/>
  </si>
  <si>
    <t>- 넷플릭스의 오리지널 시리즈 ‘오징어게임’이 최근 한국을 넘어 국내 드라마 최초로 미국 넷플릭스 1위를 차지하는 등 글로벌 흥행을 기록하면서 전 세계가 국내 콘텐츠를 주목</t>
    <phoneticPr fontId="4" type="noConversion"/>
  </si>
  <si>
    <t>- 이에 넷플릭스는 올 한해만 한국 콘텐츠에 대한 투자를 5500억원으로 늘리기로 결정 : 넷플릭스는 지난 5년간 한국 콘텐츠에 7700억원(연평균 1540억원)을 투자한 바 있으며, "오징어게임"에는 제작비 200억원을 투입</t>
    <phoneticPr fontId="4" type="noConversion"/>
  </si>
  <si>
    <t>- 최근 MBC에 사의를 표명한 ‘무한도전’,  ‘놀면 뭐하니’의 김태호 PD도 넷플릭스 오리지널 예능 ‘털보와 먹보’를 준비하고 있어 넷플릭스의 국내 콘텐츠 시장 장악은 가속화될 전망</t>
    <phoneticPr fontId="4" type="noConversion"/>
  </si>
  <si>
    <t>(MBC와 넷플릭스가 공동으로 진행하는 프로젝트지만 SKT-지상파 OTT(온라인동영상서비스) 웨이브가 아닌 넷플릭스 오리지널로 방영)</t>
    <phoneticPr fontId="4" type="noConversion"/>
  </si>
  <si>
    <t>- “넷플릭스가 5년간 7700억원을 투자한 결과 다양한 산업에서 5조6000억원의 경제적 효과를 냈고 일자리 1만6000개를 생산했다” - 강동한 한국 콘텐츠 총괄 VP(Vice President)</t>
    <phoneticPr fontId="4" type="noConversion"/>
  </si>
  <si>
    <t>- 이런 현상에 따라 국내 스타 제작진들이 모두 넷플릭스를 선호하는 현상이 가속화될 가능성이 커짐/ 초기에는 파격적인 제작비 때문에 창작자들이 넷플릭스를 선호했지만 최근에는 규제가 비교적 적고 마음껏 실력을 발휘할 수 있는 자율적인 제작 환경이 이들에게 매력적</t>
    <phoneticPr fontId="4" type="noConversion"/>
  </si>
  <si>
    <t>- 오징어게임에 200억원의 제작비가 투입했으나, 최근 국내 제작 환경도 성장하며 200억원은 사실 큰 규모는 아닌 편 : CJ ENM은 티빙에 5년간 5조원, 웨이브는 2025년까지 1조원을 투자, KT는 2023년까지 시즌에 4000억원을 투입</t>
    <phoneticPr fontId="4" type="noConversion"/>
  </si>
  <si>
    <t>- 수익배분 논란? 넷플릭스의 드라마, 영화들은 지적재산권(IP)을 넷플릭스에서 가져가고 제작비의 110~120% 비용을 제작사에 지불, ‘오징어 게임’의 제작비는 200억원 수준인데, 제작사 싸이런픽쳐스가 넷플릭스로부터 받게 될 금액은 220억~240억원으로 추정</t>
    <phoneticPr fontId="4" type="noConversion"/>
  </si>
  <si>
    <t>★ 디즈니플러스 품은 LGU+, 유료방송 시장 '지각변동' 예고</t>
    <phoneticPr fontId="4" type="noConversion"/>
  </si>
  <si>
    <t>- LG유플러스가 온라인동영상서비스(OTT) 골리앗 ‘디즈니플러스’와 IPTV 독점계약을 체결하면서 유료방송 시장에 지각변동이 예상 (오는 11월부터 국내 서비스를 개시하는 디즈니플러스를 LG유플러스의 IPTV·모바일 LG헬로비전 케이블TV 서비스와 연동)</t>
    <phoneticPr fontId="4" type="noConversion"/>
  </si>
  <si>
    <t>- 지난 2018년 넷플릭스와 독점계약 체결로 유료방송 시장에서 점유율을 확대한 LG유플러스는 이번에도 경쟁사보다 빠르게 디즈니플러스와 손을 잡으면서 가입자 확대에 나선다는 방침</t>
    <phoneticPr fontId="4" type="noConversion"/>
  </si>
  <si>
    <t>( LG유플러스는 11월 12일 본격적인 서비스에 앞서 디즈니플러스 제휴 요금제도 선보일 계획)</t>
    <phoneticPr fontId="4" type="noConversion"/>
  </si>
  <si>
    <r>
      <t xml:space="preserve">- LG유플러스의 IPTV 가입자 증가율은 2017년 상반기 15.6%에서 2018년 상반기 11%로 하락하며 가입자 증가율이 둔화되는 모습이었으나 </t>
    </r>
    <r>
      <rPr>
        <sz val="11"/>
        <color rgb="FFFF0000"/>
        <rFont val="맑은 고딕"/>
        <family val="3"/>
        <charset val="129"/>
        <scheme val="minor"/>
      </rPr>
      <t>넷플릭스와 계약을 체결한 2018년 하반기 13.5%로 반등</t>
    </r>
    <r>
      <rPr>
        <sz val="11"/>
        <rFont val="맑은 고딕"/>
        <family val="3"/>
        <charset val="129"/>
        <scheme val="minor"/>
      </rPr>
      <t>하는 등 매 분기 10만 명 안팎의 가입자 증가세</t>
    </r>
    <phoneticPr fontId="4" type="noConversion"/>
  </si>
  <si>
    <t>(현재 IPTV 가입자 수 2위를 기록 중인 LG유플러스가 업계 1위를 넘볼 수도 있다는 가능성을 제기)</t>
    <phoneticPr fontId="4" type="noConversion"/>
  </si>
  <si>
    <t>- 영유아 전용 플랫폼 ‘U+아이들나라’를 통해 부모 세대를 확보한 LG유플러스가 디즈니플러스와 제휴를 통해 MZ세대까지 영역을 확장할 수 있는 저변을 마련한 만큼, 순위 변동의 가능성은 충분하다는 분석</t>
    <phoneticPr fontId="4" type="noConversion"/>
  </si>
  <si>
    <t>- “LG유플러스는 콘텐츠 마케팅의 성공적인 경험과 해외 OTT 업체와의 제휴를 통한 국내시장 공략의 성공 사례로 디즈니플러스와의 제휴에서도 높은 가능성을 기대할 수 있다” - 이학무 미래에셋증권 연구원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</si>
  <si>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08~10월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</si>
  <si>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</si>
  <si>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</si>
  <si>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</si>
  <si>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</si>
  <si>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</si>
  <si>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</si>
  <si>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</si>
  <si>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</si>
  <si>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CJ 제일제당</t>
    <phoneticPr fontId="4" type="noConversion"/>
  </si>
  <si>
    <t>비비고</t>
    <phoneticPr fontId="4" type="noConversion"/>
  </si>
  <si>
    <t>TBWA, 오리콤</t>
    <phoneticPr fontId="4" type="noConversion"/>
  </si>
  <si>
    <t>카닥코퍼레이션</t>
    <phoneticPr fontId="4" type="noConversion"/>
  </si>
  <si>
    <t>카닥</t>
    <phoneticPr fontId="4" type="noConversion"/>
  </si>
  <si>
    <t>대홍기획, 디렉터스컴퍼니</t>
    <phoneticPr fontId="4" type="noConversion"/>
  </si>
  <si>
    <t xml:space="preserve">10월중 </t>
    <phoneticPr fontId="4" type="noConversion"/>
  </si>
  <si>
    <t>NC소프트</t>
    <phoneticPr fontId="4" type="noConversion"/>
  </si>
  <si>
    <t>리니지.M</t>
    <phoneticPr fontId="4" type="noConversion"/>
  </si>
  <si>
    <t>50 (中 Digital 30)</t>
    <phoneticPr fontId="4" type="noConversion"/>
  </si>
  <si>
    <t>파악중…(4개사 참여 예상)</t>
    <phoneticPr fontId="4" type="noConversion"/>
  </si>
  <si>
    <t>한솔홈데코</t>
    <phoneticPr fontId="4" type="noConversion"/>
  </si>
  <si>
    <t>기업PR</t>
    <phoneticPr fontId="4" type="noConversion"/>
  </si>
  <si>
    <t>파악중…(3개사 참여 예상)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</si>
  <si>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</si>
  <si>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</si>
  <si>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</si>
  <si>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</si>
  <si>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</si>
  <si>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제일, TBWA, 맥켄에릭슨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</si>
  <si>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</si>
  <si>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</si>
  <si>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</si>
  <si>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</si>
  <si>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</si>
  <si>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</si>
  <si>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</si>
  <si>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</si>
  <si>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</si>
  <si>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</si>
  <si>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</si>
  <si>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</si>
  <si>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</si>
  <si>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</si>
  <si>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</si>
  <si>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</si>
  <si>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</si>
  <si>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</si>
  <si>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</si>
  <si>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</si>
  <si>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</si>
  <si>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</si>
  <si>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</si>
  <si>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</si>
  <si>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</si>
  <si>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</si>
  <si>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</si>
  <si>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</si>
  <si>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</si>
  <si>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</si>
  <si>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</si>
  <si>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</si>
  <si>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</si>
  <si>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</si>
  <si>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</si>
  <si>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</si>
  <si>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</si>
  <si>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</si>
  <si>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</si>
  <si>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</si>
  <si>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</si>
  <si>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</si>
  <si>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</si>
  <si>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</si>
  <si>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이노션</t>
    <phoneticPr fontId="4" type="noConversion"/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</si>
  <si>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</si>
  <si>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</si>
  <si>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</si>
  <si>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</si>
  <si>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</si>
  <si>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</si>
  <si>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</si>
  <si>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</si>
  <si>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</si>
  <si>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</si>
  <si>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</si>
  <si>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</si>
  <si>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</si>
  <si>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</si>
  <si>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</si>
  <si>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</si>
  <si>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</si>
  <si>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</si>
  <si>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</si>
  <si>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</si>
  <si>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</si>
  <si>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</si>
  <si>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</si>
  <si>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</si>
  <si>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</si>
  <si>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</si>
  <si>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</si>
  <si>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</si>
  <si>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</si>
  <si>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</si>
  <si>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</si>
  <si>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</si>
  <si>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</si>
  <si>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</si>
  <si>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</si>
  <si>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</si>
  <si>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</si>
  <si>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</si>
  <si>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</si>
  <si>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</si>
  <si>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</si>
  <si>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</si>
  <si>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</si>
  <si>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</si>
  <si>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</si>
  <si>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</si>
  <si>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</si>
  <si>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</si>
  <si>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</si>
  <si>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</si>
  <si>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</si>
  <si>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</si>
  <si>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</si>
  <si>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</si>
  <si>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</si>
  <si>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</si>
  <si>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</si>
  <si>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</si>
  <si>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</si>
  <si>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</si>
  <si>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</si>
  <si>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</si>
  <si>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</si>
  <si>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</si>
  <si>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</si>
  <si>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</si>
  <si>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</si>
  <si>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</si>
  <si>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</si>
  <si>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</si>
  <si>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</si>
  <si>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</si>
  <si>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</si>
  <si>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</si>
  <si>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</si>
  <si>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</si>
  <si>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</si>
  <si>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</si>
  <si>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</si>
  <si>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</si>
  <si>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</si>
  <si>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</si>
  <si>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</si>
  <si>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</si>
  <si>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</si>
  <si>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</si>
  <si>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</si>
  <si>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</si>
  <si>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</si>
  <si>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</si>
  <si>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</si>
  <si>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</si>
  <si>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</si>
  <si>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</si>
  <si>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</si>
  <si>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</si>
  <si>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</si>
  <si>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</si>
  <si>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10월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인쇄, 옥외,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</si>
  <si>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</si>
  <si>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sz val="9.35"/>
        <color theme="1"/>
        <rFont val="맑은 고딕"/>
        <family val="3"/>
        <charset val="129"/>
      </rPr>
      <t xml:space="preserve"> 미집계 순위권內(~TOP 10) Agency : 퍼블리시스원, 차이커뮤니케이션</t>
    </r>
    <phoneticPr fontId="4" type="noConversion"/>
  </si>
  <si>
    <t xml:space="preserve">(단위 : 억원) </t>
    <phoneticPr fontId="4" type="noConversion"/>
  </si>
  <si>
    <t>2021. 10 (Start계수)</t>
    <phoneticPr fontId="4" type="noConversion"/>
  </si>
  <si>
    <t>전월 마감액 (21'09)</t>
    <phoneticPr fontId="4" type="noConversion"/>
  </si>
  <si>
    <t>2021년 ~10 누적계수</t>
    <phoneticPr fontId="4" type="noConversion"/>
  </si>
  <si>
    <t>2020년 ~10 누적계수</t>
    <phoneticPr fontId="4" type="noConversion"/>
  </si>
  <si>
    <t>10月 Client Isuue (전월대비 증감 광고주 한)</t>
    <phoneticPr fontId="4" type="noConversion"/>
  </si>
  <si>
    <t>제일기획</t>
    <phoneticPr fontId="4" type="noConversion"/>
  </si>
  <si>
    <t>(감소) 삼성전자, 한국인삼공사</t>
    <phoneticPr fontId="4" type="noConversion"/>
  </si>
  <si>
    <t>SUM</t>
    <phoneticPr fontId="4" type="noConversion"/>
  </si>
  <si>
    <t xml:space="preserve">(감소) 카카오웹툰 </t>
    <phoneticPr fontId="4" type="noConversion"/>
  </si>
  <si>
    <t>대홍기획</t>
    <phoneticPr fontId="4" type="noConversion"/>
  </si>
  <si>
    <t>(감소) 롯데지주</t>
    <phoneticPr fontId="4" type="noConversion"/>
  </si>
  <si>
    <t>HS AD</t>
    <phoneticPr fontId="4" type="noConversion"/>
  </si>
  <si>
    <t xml:space="preserve">(감소) LG전자, SBI저축은행 </t>
    <phoneticPr fontId="4" type="noConversion"/>
  </si>
  <si>
    <t>TBWA</t>
    <phoneticPr fontId="4" type="noConversion"/>
  </si>
  <si>
    <t>(증가) APPLE</t>
    <phoneticPr fontId="4" type="noConversion"/>
  </si>
  <si>
    <t>Group M</t>
    <phoneticPr fontId="4" type="noConversion"/>
  </si>
  <si>
    <t>(증가) 볼보코리아, Facebook코리아, 하리보</t>
    <phoneticPr fontId="4" type="noConversion"/>
  </si>
  <si>
    <t>SM C&amp;C</t>
    <phoneticPr fontId="4" type="noConversion"/>
  </si>
  <si>
    <t>(증가) SKT</t>
    <phoneticPr fontId="4" type="noConversion"/>
  </si>
  <si>
    <t>오리콤</t>
    <phoneticPr fontId="4" type="noConversion"/>
  </si>
  <si>
    <t xml:space="preserve">(감소) 에이스침대, 금호석유화학, KB국민카드, 넥센타이어 </t>
    <phoneticPr fontId="4" type="noConversion"/>
  </si>
  <si>
    <t>Dentsu Aegis Network</t>
    <phoneticPr fontId="4" type="noConversion"/>
  </si>
  <si>
    <t>(Recall.연기) GM</t>
    <phoneticPr fontId="4" type="noConversion"/>
  </si>
  <si>
    <t>한컴</t>
    <phoneticPr fontId="4" type="noConversion"/>
  </si>
  <si>
    <t xml:space="preserve">(동일) KEB 하나은행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</si>
  <si>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 21년 09월 마감 &amp; 21년 10월 시작 (당월 시작계수 추후 변동 가능성)</t>
    </r>
    <phoneticPr fontId="4" type="noConversion"/>
  </si>
  <si>
    <t>2020. 10월 (Start계수)</t>
    <phoneticPr fontId="4" type="noConversion"/>
  </si>
  <si>
    <t>2021. 09 (End계수)</t>
    <phoneticPr fontId="4" type="noConversion"/>
  </si>
  <si>
    <t>2020. 09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</si>
  <si>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</si>
  <si>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</si>
  <si>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</si>
  <si>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</si>
  <si>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2021.10月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</si>
  <si>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</si>
  <si>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2021. 09 (최종마감)</t>
    <phoneticPr fontId="4" type="noConversion"/>
  </si>
  <si>
    <t>2021. ~10 누적계수</t>
    <phoneticPr fontId="4" type="noConversion"/>
  </si>
  <si>
    <t>2020. ~10 누적계수</t>
    <phoneticPr fontId="4" type="noConversion"/>
  </si>
  <si>
    <t xml:space="preserve">10月 채널별 증감 (전월대비) </t>
    <phoneticPr fontId="4" type="noConversion"/>
  </si>
  <si>
    <t>CJ E&amp;M</t>
    <phoneticPr fontId="4" type="noConversion"/>
  </si>
  <si>
    <r>
      <t xml:space="preserve">   (증가) Mnet </t>
    </r>
    <r>
      <rPr>
        <sz val="11"/>
        <color rgb="FFFF0000"/>
        <rFont val="맑은 고딕"/>
        <family val="3"/>
        <charset val="129"/>
        <scheme val="minor"/>
      </rPr>
      <t>(감소) OCN, OCN Thrills, tvN, story, Olive, DIA TV, CGV, Superaction, Onstyle, 중화TV, OGN,, XtvN, Tooniverse, OtvN</t>
    </r>
    <phoneticPr fontId="4" type="noConversion"/>
  </si>
  <si>
    <t>JTBC mediacomm</t>
    <phoneticPr fontId="4" type="noConversion"/>
  </si>
  <si>
    <t xml:space="preserve">(감소) JTBC, JTBC2, JTBC4, Fox Sports, Golf </t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</si>
  <si>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</si>
  <si>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</si>
  <si>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</si>
  <si>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</si>
  <si>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</si>
  <si>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</si>
  <si>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Music, ON </t>
    </r>
    <r>
      <rPr>
        <sz val="11"/>
        <color rgb="FFFF0000"/>
        <rFont val="맑은 고딕"/>
        <family val="3"/>
        <charset val="129"/>
        <scheme val="minor"/>
      </rPr>
      <t>(감소) sports+1, sports+2, every1, dramaNET</t>
    </r>
    <phoneticPr fontId="4" type="noConversion"/>
  </si>
  <si>
    <t>KBS N</t>
    <phoneticPr fontId="4" type="noConversion"/>
  </si>
  <si>
    <t xml:space="preserve">(감소) N sports, Kids, KBS W, N life, drama, JOY </t>
    <phoneticPr fontId="4" type="noConversion"/>
  </si>
  <si>
    <t>T Cast</t>
    <phoneticPr fontId="4" type="noConversion"/>
  </si>
  <si>
    <r>
      <t xml:space="preserve">(증가) FOX </t>
    </r>
    <r>
      <rPr>
        <sz val="11"/>
        <color rgb="FFFF0000"/>
        <rFont val="맑은 고딕"/>
        <family val="3"/>
        <charset val="129"/>
        <scheme val="minor"/>
      </rPr>
      <t>(감소) Screen, E, Champ, CineF, Foxlife, FashionN, FX, Drama cub, CH view</t>
    </r>
    <phoneticPr fontId="4" type="noConversion"/>
  </si>
  <si>
    <t>SBS Plus</t>
    <phoneticPr fontId="4" type="noConversion"/>
  </si>
  <si>
    <t>(감소) Plus, funE</t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</si>
  <si>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</si>
  <si>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Nick, MTV </t>
    </r>
    <r>
      <rPr>
        <sz val="11"/>
        <color rgb="FFFF0000"/>
        <rFont val="맑은 고딕"/>
        <family val="3"/>
        <charset val="129"/>
        <scheme val="minor"/>
      </rPr>
      <t xml:space="preserve">(감소) Golf, Sports, CNBC, SBS Biz, SBS F! </t>
    </r>
    <phoneticPr fontId="4" type="noConversion"/>
  </si>
  <si>
    <t>IHQ</t>
    <phoneticPr fontId="4" type="noConversion"/>
  </si>
  <si>
    <t>(감소) IHQ, Sandbox+, Dramax, K-Star</t>
    <phoneticPr fontId="4" type="noConversion"/>
  </si>
  <si>
    <t>SPOTV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</si>
  <si>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2021 10월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</si>
  <si>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</si>
  <si>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</si>
  <si>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>▶ 온라인/모바일 배너 강세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</si>
  <si>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 의류 및 신발&gt; 음식 및 숙박,운수 서비스&gt; 주택,수도,전기,연료&gt; 운송장비&gt; 가정용품 및 가사서비스  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</si>
</sst>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.35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5" fillId="0" borderId="0" xfId="0" quotePrefix="1" applyFont="1" applyAlignment="1">
      <alignment vertical="top" wrapText="1"/>
    </xf>
    <xf numFmtId="0" fontId="5" fillId="0" borderId="0" xfId="0" quotePrefix="1" applyFont="1" applyAlignment="1">
      <alignment vertical="center" wrapText="1"/>
    </xf>
    <xf numFmtId="0" fontId="8" fillId="0" borderId="0" xfId="0" applyFont="1">
      <alignment vertical="center"/>
    </xf>
    <xf numFmtId="0" fontId="8" fillId="0" borderId="0" xfId="0" quotePrefix="1" applyFont="1" applyAlignment="1">
      <alignment horizontal="left" vertical="center" wrapText="1"/>
    </xf>
    <xf numFmtId="0" fontId="13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8" fillId="0" borderId="2" xfId="0" applyNumberFormat="1" applyFont="1" applyFill="1" applyBorder="1" applyAlignment="1">
      <alignment vertical="center" wrapText="1"/>
    </xf>
    <xf numFmtId="14" fontId="8" fillId="0" borderId="3" xfId="0" applyNumberFormat="1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10" fillId="0" borderId="0" xfId="0" applyFont="1">
      <alignment vertical="center"/>
    </xf>
    <xf numFmtId="0" fontId="5" fillId="9" borderId="0" xfId="0" applyFont="1" applyFill="1" applyAlignment="1">
      <alignment horizontal="right" vertical="center"/>
    </xf>
    <xf numFmtId="0" fontId="10" fillId="9" borderId="4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176" fontId="2" fillId="10" borderId="9" xfId="0" applyNumberFormat="1" applyFont="1" applyFill="1" applyBorder="1" applyAlignment="1">
      <alignment horizontal="center" vertical="center"/>
    </xf>
    <xf numFmtId="176" fontId="2" fillId="10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0" xfId="0" applyNumberFormat="1" applyFont="1" applyFill="1" applyBorder="1" applyAlignment="1">
      <alignment horizontal="center" vertical="center"/>
    </xf>
    <xf numFmtId="176" fontId="5" fillId="0" borderId="21" xfId="0" applyNumberFormat="1" applyFont="1" applyFill="1" applyBorder="1" applyAlignment="1">
      <alignment horizontal="center" vertical="center"/>
    </xf>
    <xf numFmtId="176" fontId="2" fillId="10" borderId="20" xfId="0" applyNumberFormat="1" applyFont="1" applyFill="1" applyBorder="1" applyAlignment="1">
      <alignment horizontal="center" vertical="center"/>
    </xf>
    <xf numFmtId="176" fontId="2" fillId="10" borderId="2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5" borderId="13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77" fontId="11" fillId="12" borderId="25" xfId="1" applyNumberFormat="1" applyFont="1" applyFill="1" applyBorder="1" applyAlignment="1">
      <alignment horizontal="center" vertical="center"/>
    </xf>
    <xf numFmtId="177" fontId="8" fillId="0" borderId="26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5" borderId="8" xfId="0" applyFont="1" applyFill="1" applyBorder="1" applyAlignment="1">
      <alignment horizontal="center" vertical="center"/>
    </xf>
    <xf numFmtId="177" fontId="11" fillId="5" borderId="27" xfId="1" applyNumberFormat="1" applyFont="1" applyFill="1" applyBorder="1" applyAlignment="1">
      <alignment horizontal="center" vertical="center"/>
    </xf>
    <xf numFmtId="177" fontId="10" fillId="5" borderId="28" xfId="0" applyNumberFormat="1" applyFont="1" applyFill="1" applyBorder="1" applyAlignment="1">
      <alignment horizontal="center" vertical="center"/>
    </xf>
    <xf numFmtId="177" fontId="11" fillId="0" borderId="0" xfId="1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9" borderId="29" xfId="0" applyFont="1" applyFill="1" applyBorder="1" applyAlignment="1">
      <alignment horizontal="right" vertical="center"/>
    </xf>
    <xf numFmtId="0" fontId="10" fillId="9" borderId="2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2" fillId="5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8" fillId="0" borderId="30" xfId="1" applyNumberFormat="1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76" fontId="11" fillId="0" borderId="16" xfId="0" applyNumberFormat="1" applyFont="1" applyFill="1" applyBorder="1" applyAlignment="1">
      <alignment horizontal="center" vertical="center"/>
    </xf>
    <xf numFmtId="176" fontId="11" fillId="0" borderId="17" xfId="0" applyNumberFormat="1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76" fontId="8" fillId="0" borderId="16" xfId="0" applyNumberFormat="1" applyFont="1" applyFill="1" applyBorder="1" applyAlignment="1">
      <alignment horizontal="center" vertical="center"/>
    </xf>
    <xf numFmtId="176" fontId="8" fillId="0" borderId="17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176" fontId="11" fillId="0" borderId="11" xfId="0" applyNumberFormat="1" applyFont="1" applyFill="1" applyBorder="1" applyAlignment="1">
      <alignment horizontal="center" vertical="center"/>
    </xf>
    <xf numFmtId="176" fontId="11" fillId="0" borderId="14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8" fillId="0" borderId="11" xfId="0" applyNumberFormat="1" applyFont="1" applyFill="1" applyBorder="1" applyAlignment="1">
      <alignment horizontal="center" vertical="center"/>
    </xf>
    <xf numFmtId="176" fontId="8" fillId="0" borderId="14" xfId="0" applyNumberFormat="1" applyFont="1" applyFill="1" applyBorder="1" applyAlignment="1">
      <alignment horizontal="center" vertical="center"/>
    </xf>
    <xf numFmtId="176" fontId="8" fillId="0" borderId="5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/>
    </xf>
    <xf numFmtId="176" fontId="12" fillId="5" borderId="11" xfId="0" applyNumberFormat="1" applyFont="1" applyFill="1" applyBorder="1" applyAlignment="1">
      <alignment horizontal="center" vertical="center"/>
    </xf>
    <xf numFmtId="176" fontId="12" fillId="5" borderId="14" xfId="0" applyNumberFormat="1" applyFont="1" applyFill="1" applyBorder="1" applyAlignment="1">
      <alignment horizontal="center" vertical="center"/>
    </xf>
    <xf numFmtId="176" fontId="12" fillId="5" borderId="5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176" fontId="10" fillId="0" borderId="11" xfId="0" applyNumberFormat="1" applyFont="1" applyFill="1" applyBorder="1" applyAlignment="1">
      <alignment horizontal="center" vertical="center"/>
    </xf>
    <xf numFmtId="176" fontId="10" fillId="0" borderId="14" xfId="0" applyNumberFormat="1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76" fontId="10" fillId="0" borderId="16" xfId="0" applyNumberFormat="1" applyFont="1" applyFill="1" applyBorder="1" applyAlignment="1">
      <alignment horizontal="center" vertical="center"/>
    </xf>
    <xf numFmtId="176" fontId="10" fillId="0" borderId="17" xfId="0" applyNumberFormat="1" applyFont="1" applyFill="1" applyBorder="1" applyAlignment="1">
      <alignment horizontal="center" vertical="center"/>
    </xf>
    <xf numFmtId="176" fontId="10" fillId="0" borderId="18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14" fontId="8" fillId="0" borderId="2" xfId="0" applyNumberFormat="1" applyFont="1" applyFill="1" applyBorder="1" applyAlignment="1">
      <alignment horizontal="center" vertical="center" wrapText="1"/>
    </xf>
    <xf numFmtId="14" fontId="8" fillId="0" borderId="3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5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1169893</xdr:colOff>
      <xdr:row>141</xdr:row>
      <xdr:rowOff>153746</xdr:rowOff>
    </xdr:from>
    <xdr:to>
      <xdr:col>4</xdr:col>
      <xdr:colOff>753033</xdr:colOff>
      <xdr:row>147</xdr:row>
      <xdr:rowOff>98614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75368" y="34234196"/>
          <a:ext cx="1535765" cy="214514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1510554</xdr:colOff>
      <xdr:row>110</xdr:row>
      <xdr:rowOff>0</xdr:rowOff>
    </xdr:from>
    <xdr:to>
      <xdr:col>4</xdr:col>
      <xdr:colOff>470647</xdr:colOff>
      <xdr:row>113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9" y="24669750"/>
          <a:ext cx="912718" cy="85725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1143001</xdr:colOff>
      <xdr:row>130</xdr:row>
      <xdr:rowOff>67236</xdr:rowOff>
    </xdr:from>
    <xdr:to>
      <xdr:col>1</xdr:col>
      <xdr:colOff>1266267</xdr:colOff>
      <xdr:row>130</xdr:row>
      <xdr:rowOff>201706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892499A5-9BBF-4F8F-8A1A-05E01CC47EF9}"/>
            </a:ext>
          </a:extLst>
        </xdr:cNvPr>
        <xdr:cNvSpPr/>
      </xdr:nvSpPr>
      <xdr:spPr>
        <a:xfrm>
          <a:off x="2943226" y="3049961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131</xdr:row>
      <xdr:rowOff>67235</xdr:rowOff>
    </xdr:from>
    <xdr:to>
      <xdr:col>1</xdr:col>
      <xdr:colOff>1266266</xdr:colOff>
      <xdr:row>131</xdr:row>
      <xdr:rowOff>201705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CAFCA70D-4661-4747-B85B-50DB6F38CF7B}"/>
            </a:ext>
          </a:extLst>
        </xdr:cNvPr>
        <xdr:cNvSpPr/>
      </xdr:nvSpPr>
      <xdr:spPr>
        <a:xfrm>
          <a:off x="2943225" y="307948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132</xdr:row>
      <xdr:rowOff>56030</xdr:rowOff>
    </xdr:from>
    <xdr:to>
      <xdr:col>1</xdr:col>
      <xdr:colOff>1266266</xdr:colOff>
      <xdr:row>132</xdr:row>
      <xdr:rowOff>190500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9587D720-DB8D-4CD9-850D-F6106ADFC142}"/>
            </a:ext>
          </a:extLst>
        </xdr:cNvPr>
        <xdr:cNvSpPr/>
      </xdr:nvSpPr>
      <xdr:spPr>
        <a:xfrm>
          <a:off x="2943225" y="3107895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1120589</xdr:colOff>
      <xdr:row>130</xdr:row>
      <xdr:rowOff>78441</xdr:rowOff>
    </xdr:from>
    <xdr:to>
      <xdr:col>3</xdr:col>
      <xdr:colOff>1243855</xdr:colOff>
      <xdr:row>130</xdr:row>
      <xdr:rowOff>212911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02F2B0A9-3035-4DFC-89E3-A0FF04D0B437}"/>
            </a:ext>
          </a:extLst>
        </xdr:cNvPr>
        <xdr:cNvSpPr/>
      </xdr:nvSpPr>
      <xdr:spPr>
        <a:xfrm>
          <a:off x="6826064" y="3051081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131</xdr:row>
      <xdr:rowOff>78440</xdr:rowOff>
    </xdr:from>
    <xdr:to>
      <xdr:col>3</xdr:col>
      <xdr:colOff>1243854</xdr:colOff>
      <xdr:row>131</xdr:row>
      <xdr:rowOff>212910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30806090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132</xdr:row>
      <xdr:rowOff>67235</xdr:rowOff>
    </xdr:from>
    <xdr:to>
      <xdr:col>3</xdr:col>
      <xdr:colOff>1243854</xdr:colOff>
      <xdr:row>132</xdr:row>
      <xdr:rowOff>201705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31090160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67235</xdr:colOff>
      <xdr:row>157</xdr:row>
      <xdr:rowOff>11205</xdr:rowOff>
    </xdr:from>
    <xdr:to>
      <xdr:col>4</xdr:col>
      <xdr:colOff>1002825</xdr:colOff>
      <xdr:row>164</xdr:row>
      <xdr:rowOff>156881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881BBA8-1B73-4C55-93A1-C06D31665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39654255"/>
          <a:ext cx="8593690" cy="2288801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166</xdr:row>
      <xdr:rowOff>22412</xdr:rowOff>
    </xdr:from>
    <xdr:to>
      <xdr:col>4</xdr:col>
      <xdr:colOff>1030941</xdr:colOff>
      <xdr:row>183</xdr:row>
      <xdr:rowOff>107675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F8309A4-1B3D-4F68-9DA0-73484E9E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42380087"/>
          <a:ext cx="8588188" cy="4943013"/>
        </a:xfrm>
        <a:prstGeom prst="rect">
          <a:avLst/>
        </a:prstGeom>
      </xdr:spPr>
    </xdr:pic>
    <xdr:clientData/>
  </xdr:twoCellAnchor>
  <xdr:twoCellAnchor editAs="oneCell">
    <xdr:from>
      <xdr:col>8</xdr:col>
      <xdr:colOff>661149</xdr:colOff>
      <xdr:row>13</xdr:row>
      <xdr:rowOff>156884</xdr:rowOff>
    </xdr:from>
    <xdr:to>
      <xdr:col>8</xdr:col>
      <xdr:colOff>2644588</xdr:colOff>
      <xdr:row>23</xdr:row>
      <xdr:rowOff>178109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414358A-86FE-4FEF-A195-60CCF011C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2099" y="3871634"/>
          <a:ext cx="1983439" cy="28787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1187823</xdr:colOff>
      <xdr:row>111</xdr:row>
      <xdr:rowOff>67235</xdr:rowOff>
    </xdr:from>
    <xdr:to>
      <xdr:col>3</xdr:col>
      <xdr:colOff>1311089</xdr:colOff>
      <xdr:row>111</xdr:row>
      <xdr:rowOff>201705</xdr:rowOff>
    </xdr:to>
    <xdr:sp macro="" textlink="">
      <xdr:nvSpPr>
        <xdr:cNvPr id="18" name="이등변 삼각형 17">
          <a:extLst>
            <a:ext uri="{FF2B5EF4-FFF2-40B4-BE49-F238E27FC236}">
              <a16:creationId xmlns:a16="http://schemas.microsoft.com/office/drawing/2014/main" id="{12E3B2CE-20CF-48F8-A187-0BF42F4A5E59}"/>
            </a:ext>
          </a:extLst>
        </xdr:cNvPr>
        <xdr:cNvSpPr/>
      </xdr:nvSpPr>
      <xdr:spPr>
        <a:xfrm rot="10800000">
          <a:off x="6893298" y="2502273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1255059</xdr:colOff>
      <xdr:row>107</xdr:row>
      <xdr:rowOff>201705</xdr:rowOff>
    </xdr:from>
    <xdr:to>
      <xdr:col>0</xdr:col>
      <xdr:colOff>1378325</xdr:colOff>
      <xdr:row>108</xdr:row>
      <xdr:rowOff>44822</xdr:rowOff>
    </xdr:to>
    <xdr:sp macro="" textlink="">
      <xdr:nvSpPr>
        <xdr:cNvPr id="19" name="이등변 삼각형 18">
          <a:extLst>
            <a:ext uri="{FF2B5EF4-FFF2-40B4-BE49-F238E27FC236}">
              <a16:creationId xmlns:a16="http://schemas.microsoft.com/office/drawing/2014/main" id="{70544559-FFE6-496D-B0AA-8D171E513EAF}"/>
            </a:ext>
          </a:extLst>
        </xdr:cNvPr>
        <xdr:cNvSpPr/>
      </xdr:nvSpPr>
      <xdr:spPr>
        <a:xfrm>
          <a:off x="1255059" y="24014205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1266265</xdr:colOff>
      <xdr:row>110</xdr:row>
      <xdr:rowOff>201706</xdr:rowOff>
    </xdr:from>
    <xdr:to>
      <xdr:col>0</xdr:col>
      <xdr:colOff>1389531</xdr:colOff>
      <xdr:row>111</xdr:row>
      <xdr:rowOff>44823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33B11B38-096C-400D-9CCB-572350714A2E}"/>
            </a:ext>
          </a:extLst>
        </xdr:cNvPr>
        <xdr:cNvSpPr/>
      </xdr:nvSpPr>
      <xdr:spPr>
        <a:xfrm>
          <a:off x="1266265" y="24871456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1243853</xdr:colOff>
      <xdr:row>113</xdr:row>
      <xdr:rowOff>212912</xdr:rowOff>
    </xdr:from>
    <xdr:to>
      <xdr:col>0</xdr:col>
      <xdr:colOff>1367119</xdr:colOff>
      <xdr:row>114</xdr:row>
      <xdr:rowOff>56029</xdr:rowOff>
    </xdr:to>
    <xdr:sp macro="" textlink="">
      <xdr:nvSpPr>
        <xdr:cNvPr id="21" name="이등변 삼각형 20">
          <a:extLst>
            <a:ext uri="{FF2B5EF4-FFF2-40B4-BE49-F238E27FC236}">
              <a16:creationId xmlns:a16="http://schemas.microsoft.com/office/drawing/2014/main" id="{8897E489-529B-466B-B8E4-8BDF42459FA5}"/>
            </a:ext>
          </a:extLst>
        </xdr:cNvPr>
        <xdr:cNvSpPr/>
      </xdr:nvSpPr>
      <xdr:spPr>
        <a:xfrm>
          <a:off x="1243853" y="25739912"/>
          <a:ext cx="123266" cy="128867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1143000</xdr:colOff>
      <xdr:row>149</xdr:row>
      <xdr:rowOff>89647</xdr:rowOff>
    </xdr:from>
    <xdr:to>
      <xdr:col>3</xdr:col>
      <xdr:colOff>1266266</xdr:colOff>
      <xdr:row>149</xdr:row>
      <xdr:rowOff>224117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F8CA10D0-A57B-4CEA-A29D-AD26873C9762}"/>
            </a:ext>
          </a:extLst>
        </xdr:cNvPr>
        <xdr:cNvSpPr/>
      </xdr:nvSpPr>
      <xdr:spPr>
        <a:xfrm rot="10800000">
          <a:off x="6848475" y="37132372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5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24.75" style="1" customWidth="1"/>
    <col min="9" max="9" width="37.125" style="1" customWidth="1"/>
    <col min="10" max="16384" width="23.625" style="1"/>
  </cols>
  <sheetData>
    <row r="2" spans="1:9" ht="22.5" customHeight="1" x14ac:dyDescent="0.3">
      <c r="A2" s="139" t="s">
        <v>0</v>
      </c>
      <c r="B2" s="139"/>
      <c r="C2" s="139"/>
    </row>
    <row r="4" spans="1:9" ht="22.5" customHeight="1" x14ac:dyDescent="0.3">
      <c r="A4" s="2" t="s">
        <v>1</v>
      </c>
    </row>
    <row r="5" spans="1:9" ht="22.5" customHeight="1" x14ac:dyDescent="0.3">
      <c r="A5" s="2" t="s">
        <v>2</v>
      </c>
    </row>
    <row r="6" spans="1:9" ht="22.5" customHeight="1" x14ac:dyDescent="0.3">
      <c r="A6" s="140" t="s">
        <v>3</v>
      </c>
      <c r="B6" s="140"/>
      <c r="C6" s="140"/>
      <c r="D6" s="140"/>
      <c r="E6" s="140"/>
      <c r="F6" s="140"/>
      <c r="G6" s="140"/>
      <c r="H6" s="140"/>
      <c r="I6" s="140"/>
    </row>
    <row r="7" spans="1:9" ht="22.5" customHeight="1" x14ac:dyDescent="0.3">
      <c r="A7" s="140" t="s">
        <v>4</v>
      </c>
      <c r="B7" s="140"/>
      <c r="C7" s="140"/>
      <c r="D7" s="140"/>
      <c r="E7" s="140"/>
      <c r="F7" s="140"/>
      <c r="G7" s="140"/>
      <c r="H7" s="140"/>
      <c r="I7" s="3"/>
    </row>
    <row r="8" spans="1:9" ht="22.5" customHeight="1" x14ac:dyDescent="0.3">
      <c r="A8" s="133" t="s">
        <v>5</v>
      </c>
      <c r="B8" s="133"/>
      <c r="C8" s="133"/>
      <c r="D8" s="133"/>
      <c r="E8" s="133"/>
      <c r="F8" s="133"/>
      <c r="G8" s="133"/>
      <c r="H8" s="133"/>
      <c r="I8" s="133"/>
    </row>
    <row r="9" spans="1:9" ht="22.5" customHeight="1" x14ac:dyDescent="0.3">
      <c r="A9" s="140" t="s">
        <v>6</v>
      </c>
      <c r="B9" s="140"/>
      <c r="C9" s="140"/>
      <c r="D9" s="140"/>
      <c r="E9" s="140"/>
      <c r="F9" s="140"/>
      <c r="G9" s="140"/>
      <c r="H9" s="140"/>
      <c r="I9" s="4"/>
    </row>
    <row r="10" spans="1:9" ht="22.5" customHeight="1" x14ac:dyDescent="0.3">
      <c r="A10" s="140" t="s">
        <v>7</v>
      </c>
      <c r="B10" s="140"/>
      <c r="C10" s="140"/>
      <c r="D10" s="140"/>
      <c r="E10" s="140"/>
      <c r="F10" s="140"/>
      <c r="G10" s="140"/>
      <c r="H10" s="140"/>
      <c r="I10" s="4"/>
    </row>
    <row r="11" spans="1:9" ht="22.5" customHeight="1" x14ac:dyDescent="0.3">
      <c r="A11" s="133" t="s">
        <v>8</v>
      </c>
      <c r="B11" s="133"/>
      <c r="C11" s="133"/>
      <c r="D11" s="133"/>
      <c r="E11" s="133"/>
      <c r="F11" s="133"/>
      <c r="G11" s="133"/>
      <c r="H11" s="133"/>
      <c r="I11" s="133"/>
    </row>
    <row r="12" spans="1:9" ht="22.5" customHeight="1" x14ac:dyDescent="0.3">
      <c r="A12" s="138" t="s">
        <v>9</v>
      </c>
      <c r="B12" s="138"/>
      <c r="C12" s="138"/>
      <c r="D12" s="138"/>
      <c r="E12" s="138"/>
      <c r="F12" s="138"/>
      <c r="G12" s="138"/>
      <c r="H12" s="4"/>
      <c r="I12" s="4"/>
    </row>
    <row r="13" spans="1:9" ht="22.5" customHeight="1" x14ac:dyDescent="0.3">
      <c r="A13" s="133" t="s">
        <v>10</v>
      </c>
      <c r="B13" s="133"/>
      <c r="C13" s="133"/>
      <c r="D13" s="133"/>
      <c r="E13" s="133"/>
      <c r="F13" s="133"/>
      <c r="G13" s="133"/>
      <c r="H13" s="133"/>
      <c r="I13" s="133"/>
    </row>
    <row r="14" spans="1:9" ht="22.5" customHeight="1" x14ac:dyDescent="0.3">
      <c r="A14" s="133" t="s">
        <v>11</v>
      </c>
      <c r="B14" s="133"/>
      <c r="C14" s="133"/>
      <c r="D14" s="133"/>
      <c r="E14" s="133"/>
      <c r="F14" s="133"/>
      <c r="G14" s="133"/>
      <c r="H14" s="133"/>
      <c r="I14" s="133"/>
    </row>
    <row r="15" spans="1:9" ht="22.5" customHeight="1" x14ac:dyDescent="0.3">
      <c r="A15" s="133" t="s">
        <v>12</v>
      </c>
      <c r="B15" s="133"/>
      <c r="C15" s="133"/>
      <c r="D15" s="133"/>
      <c r="E15" s="133"/>
      <c r="F15" s="133"/>
      <c r="G15" s="133"/>
      <c r="H15" s="133"/>
      <c r="I15" s="133"/>
    </row>
    <row r="16" spans="1:9" ht="22.5" customHeight="1" x14ac:dyDescent="0.3">
      <c r="A16" s="133" t="s">
        <v>13</v>
      </c>
      <c r="B16" s="133"/>
      <c r="C16" s="133"/>
      <c r="D16" s="133"/>
      <c r="E16" s="133"/>
      <c r="F16" s="133"/>
      <c r="G16" s="133"/>
      <c r="H16" s="133"/>
      <c r="I16" s="133"/>
    </row>
    <row r="17" spans="1:9" ht="22.5" customHeight="1" x14ac:dyDescent="0.3">
      <c r="A17" s="133" t="s">
        <v>14</v>
      </c>
      <c r="B17" s="133"/>
      <c r="C17" s="133"/>
      <c r="D17" s="133"/>
      <c r="E17" s="133"/>
      <c r="F17" s="133"/>
      <c r="G17" s="133"/>
      <c r="H17" s="133"/>
      <c r="I17" s="133"/>
    </row>
    <row r="18" spans="1:9" ht="22.5" customHeight="1" x14ac:dyDescent="0.3">
      <c r="A18" s="133"/>
      <c r="B18" s="133"/>
      <c r="C18" s="133"/>
      <c r="D18" s="133"/>
      <c r="E18" s="133"/>
      <c r="F18" s="133"/>
      <c r="G18" s="133"/>
      <c r="H18" s="133"/>
      <c r="I18" s="133"/>
    </row>
    <row r="19" spans="1:9" ht="22.5" customHeight="1" x14ac:dyDescent="0.3">
      <c r="A19" s="135" t="s">
        <v>15</v>
      </c>
      <c r="B19" s="135"/>
      <c r="C19" s="135"/>
      <c r="D19" s="135"/>
      <c r="E19" s="135"/>
      <c r="F19" s="135"/>
      <c r="G19" s="135"/>
      <c r="H19" s="135"/>
      <c r="I19" s="135"/>
    </row>
    <row r="20" spans="1:9" ht="22.5" customHeight="1" x14ac:dyDescent="0.3">
      <c r="A20" s="136" t="s">
        <v>16</v>
      </c>
      <c r="B20" s="136"/>
      <c r="C20" s="136"/>
      <c r="D20" s="136"/>
      <c r="E20" s="136"/>
      <c r="F20" s="136"/>
      <c r="G20" s="136"/>
      <c r="H20" s="136"/>
      <c r="I20" s="136"/>
    </row>
    <row r="21" spans="1:9" ht="22.5" customHeight="1" x14ac:dyDescent="0.3">
      <c r="A21" s="133" t="s">
        <v>17</v>
      </c>
      <c r="B21" s="133"/>
      <c r="C21" s="133"/>
      <c r="D21" s="133"/>
      <c r="E21" s="133"/>
      <c r="F21" s="133"/>
      <c r="G21" s="133"/>
      <c r="H21" s="133"/>
      <c r="I21" s="133"/>
    </row>
    <row r="22" spans="1:9" ht="22.5" customHeight="1" x14ac:dyDescent="0.3">
      <c r="A22" s="133" t="s">
        <v>18</v>
      </c>
      <c r="B22" s="133"/>
      <c r="C22" s="133"/>
      <c r="D22" s="133"/>
      <c r="E22" s="133"/>
      <c r="F22" s="133"/>
      <c r="G22" s="133"/>
      <c r="H22" s="133"/>
      <c r="I22" s="133"/>
    </row>
    <row r="23" spans="1:9" ht="22.5" customHeight="1" x14ac:dyDescent="0.3">
      <c r="A23" s="133" t="s">
        <v>19</v>
      </c>
      <c r="B23" s="133"/>
      <c r="C23" s="133"/>
      <c r="D23" s="133"/>
      <c r="E23" s="133"/>
      <c r="F23" s="133"/>
      <c r="G23" s="133"/>
      <c r="H23" s="133"/>
      <c r="I23" s="5"/>
    </row>
    <row r="24" spans="1:9" ht="22.5" customHeight="1" x14ac:dyDescent="0.3">
      <c r="A24" s="133" t="s">
        <v>20</v>
      </c>
      <c r="B24" s="133"/>
      <c r="C24" s="133"/>
      <c r="D24" s="133"/>
      <c r="E24" s="133"/>
      <c r="F24" s="133"/>
      <c r="G24" s="133"/>
      <c r="H24" s="133"/>
      <c r="I24" s="5"/>
    </row>
    <row r="25" spans="1:9" ht="22.5" customHeight="1" x14ac:dyDescent="0.3">
      <c r="A25" s="133" t="s">
        <v>21</v>
      </c>
      <c r="B25" s="133"/>
      <c r="C25" s="133"/>
      <c r="D25" s="133"/>
      <c r="E25" s="133"/>
      <c r="F25" s="133"/>
      <c r="G25" s="133"/>
      <c r="H25" s="133"/>
      <c r="I25" s="133"/>
    </row>
    <row r="26" spans="1:9" ht="22.5" customHeight="1" x14ac:dyDescent="0.3">
      <c r="A26" s="133" t="s">
        <v>22</v>
      </c>
      <c r="B26" s="133"/>
      <c r="C26" s="133"/>
      <c r="D26" s="133"/>
      <c r="E26" s="133"/>
      <c r="F26" s="133"/>
      <c r="G26" s="133"/>
      <c r="H26" s="133"/>
      <c r="I26" s="5"/>
    </row>
    <row r="27" spans="1:9" ht="22.5" customHeight="1" x14ac:dyDescent="0.3">
      <c r="A27" s="136" t="s">
        <v>23</v>
      </c>
      <c r="B27" s="137"/>
      <c r="C27" s="137"/>
      <c r="D27" s="137"/>
      <c r="E27" s="137"/>
      <c r="F27" s="137"/>
      <c r="G27" s="137"/>
      <c r="H27" s="137"/>
      <c r="I27" s="137"/>
    </row>
    <row r="28" spans="1:9" ht="22.5" customHeight="1" x14ac:dyDescent="0.3">
      <c r="A28" s="133"/>
      <c r="B28" s="133"/>
      <c r="C28" s="133"/>
      <c r="D28" s="133"/>
      <c r="E28" s="133"/>
      <c r="F28" s="133"/>
      <c r="G28" s="133"/>
      <c r="H28" s="133"/>
      <c r="I28" s="133"/>
    </row>
    <row r="29" spans="1:9" ht="22.5" customHeight="1" x14ac:dyDescent="0.3">
      <c r="A29" s="135" t="s">
        <v>24</v>
      </c>
      <c r="B29" s="135"/>
      <c r="C29" s="135"/>
      <c r="D29" s="135"/>
      <c r="E29" s="135"/>
      <c r="F29" s="135"/>
      <c r="G29" s="135"/>
      <c r="H29" s="135"/>
      <c r="I29" s="135"/>
    </row>
    <row r="30" spans="1:9" ht="22.5" customHeight="1" x14ac:dyDescent="0.3">
      <c r="A30" s="133" t="s">
        <v>25</v>
      </c>
      <c r="B30" s="133"/>
      <c r="C30" s="133"/>
      <c r="D30" s="133"/>
      <c r="E30" s="133"/>
      <c r="F30" s="133"/>
      <c r="G30" s="133"/>
      <c r="H30" s="133"/>
      <c r="I30" s="133"/>
    </row>
    <row r="31" spans="1:9" ht="22.5" customHeight="1" x14ac:dyDescent="0.3">
      <c r="A31" s="133" t="s">
        <v>26</v>
      </c>
      <c r="B31" s="133"/>
      <c r="C31" s="133"/>
      <c r="D31" s="133"/>
      <c r="E31" s="133"/>
      <c r="F31" s="133"/>
      <c r="G31" s="133"/>
      <c r="H31" s="133"/>
      <c r="I31" s="133"/>
    </row>
    <row r="32" spans="1:9" ht="22.5" customHeight="1" x14ac:dyDescent="0.3">
      <c r="A32" s="133" t="s">
        <v>27</v>
      </c>
      <c r="B32" s="133"/>
      <c r="C32" s="133"/>
      <c r="D32" s="133"/>
      <c r="E32" s="133"/>
      <c r="F32" s="133"/>
      <c r="G32" s="133"/>
      <c r="H32" s="133"/>
      <c r="I32" s="133"/>
    </row>
    <row r="33" spans="1:9" ht="22.5" customHeight="1" x14ac:dyDescent="0.3">
      <c r="A33" s="133" t="s">
        <v>28</v>
      </c>
      <c r="B33" s="133"/>
      <c r="C33" s="133"/>
      <c r="D33" s="133"/>
      <c r="E33" s="133"/>
      <c r="F33" s="133"/>
      <c r="G33" s="133"/>
      <c r="H33" s="133"/>
      <c r="I33" s="133"/>
    </row>
    <row r="34" spans="1:9" ht="22.5" customHeight="1" x14ac:dyDescent="0.3">
      <c r="A34" s="133" t="s">
        <v>29</v>
      </c>
      <c r="B34" s="133"/>
      <c r="C34" s="133"/>
      <c r="D34" s="133"/>
      <c r="E34" s="133"/>
      <c r="F34" s="133"/>
      <c r="G34" s="6"/>
      <c r="H34" s="6"/>
    </row>
    <row r="35" spans="1:9" ht="22.5" customHeight="1" x14ac:dyDescent="0.3">
      <c r="A35" s="133" t="s">
        <v>30</v>
      </c>
      <c r="B35" s="133"/>
      <c r="C35" s="133"/>
      <c r="D35" s="133"/>
      <c r="E35" s="133"/>
      <c r="F35" s="133"/>
      <c r="G35" s="133"/>
      <c r="H35" s="133"/>
      <c r="I35" s="133"/>
    </row>
    <row r="36" spans="1:9" ht="22.5" customHeight="1" x14ac:dyDescent="0.3">
      <c r="A36" s="133" t="s">
        <v>31</v>
      </c>
      <c r="B36" s="133"/>
      <c r="C36" s="133"/>
      <c r="D36" s="133"/>
      <c r="E36" s="133"/>
      <c r="F36" s="133"/>
      <c r="G36" s="133"/>
      <c r="H36" s="133"/>
      <c r="I36" s="133"/>
    </row>
    <row r="37" spans="1:9" s="5" customFormat="1" ht="22.5" customHeight="1" x14ac:dyDescent="0.3">
      <c r="F37" s="7"/>
    </row>
    <row r="38" spans="1:9" ht="22.5" customHeight="1" x14ac:dyDescent="0.3">
      <c r="A38" s="76" t="s">
        <v>32</v>
      </c>
      <c r="B38" s="76"/>
      <c r="C38" s="76"/>
    </row>
    <row r="39" spans="1:9" s="9" customFormat="1" ht="22.5" customHeight="1" x14ac:dyDescent="0.3">
      <c r="A39" s="8"/>
      <c r="B39" s="8"/>
    </row>
    <row r="40" spans="1:9" s="12" customFormat="1" ht="21.6" customHeight="1" x14ac:dyDescent="0.3">
      <c r="A40" s="10" t="s">
        <v>33</v>
      </c>
      <c r="B40" s="11" t="s">
        <v>34</v>
      </c>
      <c r="C40" s="11" t="s">
        <v>35</v>
      </c>
      <c r="D40" s="11" t="s">
        <v>36</v>
      </c>
      <c r="E40" s="134" t="s">
        <v>37</v>
      </c>
      <c r="F40" s="134"/>
      <c r="G40" s="11" t="s">
        <v>38</v>
      </c>
      <c r="H40" s="11" t="s">
        <v>39</v>
      </c>
      <c r="I40" s="11" t="s">
        <v>40</v>
      </c>
    </row>
    <row r="41" spans="1:9" s="12" customFormat="1" ht="21.6" customHeight="1" x14ac:dyDescent="0.3">
      <c r="A41" s="13">
        <v>44495</v>
      </c>
      <c r="B41" s="14" t="s">
        <v>41</v>
      </c>
      <c r="C41" s="14" t="s">
        <v>42</v>
      </c>
      <c r="D41" s="14">
        <v>60</v>
      </c>
      <c r="E41" s="131" t="s">
        <v>43</v>
      </c>
      <c r="F41" s="132"/>
      <c r="G41" s="14"/>
      <c r="H41" s="14"/>
      <c r="I41" s="14"/>
    </row>
    <row r="42" spans="1:9" s="12" customFormat="1" ht="21.6" customHeight="1" x14ac:dyDescent="0.3">
      <c r="A42" s="13">
        <v>44487</v>
      </c>
      <c r="B42" s="14" t="s">
        <v>44</v>
      </c>
      <c r="C42" s="14" t="s">
        <v>45</v>
      </c>
      <c r="D42" s="14">
        <v>40</v>
      </c>
      <c r="E42" s="131" t="s">
        <v>46</v>
      </c>
      <c r="F42" s="132"/>
      <c r="G42" s="14"/>
      <c r="H42" s="14"/>
      <c r="I42" s="14"/>
    </row>
    <row r="43" spans="1:9" s="12" customFormat="1" ht="21.6" customHeight="1" x14ac:dyDescent="0.3">
      <c r="A43" s="13" t="s">
        <v>47</v>
      </c>
      <c r="B43" s="14" t="s">
        <v>48</v>
      </c>
      <c r="C43" s="14" t="s">
        <v>49</v>
      </c>
      <c r="D43" s="14" t="s">
        <v>50</v>
      </c>
      <c r="E43" s="131" t="s">
        <v>51</v>
      </c>
      <c r="F43" s="132"/>
      <c r="G43" s="14"/>
      <c r="H43" s="14"/>
      <c r="I43" s="14"/>
    </row>
    <row r="44" spans="1:9" s="12" customFormat="1" ht="21.6" customHeight="1" x14ac:dyDescent="0.3">
      <c r="A44" s="13" t="s">
        <v>47</v>
      </c>
      <c r="B44" s="14" t="s">
        <v>52</v>
      </c>
      <c r="C44" s="14" t="s">
        <v>53</v>
      </c>
      <c r="D44" s="14">
        <v>20</v>
      </c>
      <c r="E44" s="131" t="s">
        <v>54</v>
      </c>
      <c r="F44" s="132"/>
      <c r="G44" s="14"/>
      <c r="H44" s="14"/>
      <c r="I44" s="14"/>
    </row>
    <row r="45" spans="1:9" s="12" customFormat="1" ht="21.6" customHeight="1" x14ac:dyDescent="0.3">
      <c r="A45" s="13">
        <v>44476</v>
      </c>
      <c r="B45" s="14" t="s">
        <v>55</v>
      </c>
      <c r="C45" s="14" t="s">
        <v>56</v>
      </c>
      <c r="D45" s="14">
        <v>100</v>
      </c>
      <c r="E45" s="131" t="s">
        <v>57</v>
      </c>
      <c r="F45" s="132"/>
      <c r="G45" s="14"/>
      <c r="H45" s="14"/>
      <c r="I45" s="14"/>
    </row>
    <row r="46" spans="1:9" s="12" customFormat="1" ht="21.6" customHeight="1" x14ac:dyDescent="0.3">
      <c r="A46" s="13">
        <v>44476</v>
      </c>
      <c r="B46" s="14" t="s">
        <v>58</v>
      </c>
      <c r="C46" s="14" t="s">
        <v>59</v>
      </c>
      <c r="D46" s="14">
        <v>100</v>
      </c>
      <c r="E46" s="131" t="s">
        <v>60</v>
      </c>
      <c r="F46" s="132"/>
      <c r="G46" s="14"/>
      <c r="H46" s="14"/>
      <c r="I46" s="14"/>
    </row>
    <row r="47" spans="1:9" s="12" customFormat="1" ht="19.5" customHeight="1" x14ac:dyDescent="0.3">
      <c r="A47" s="15">
        <v>44442</v>
      </c>
      <c r="B47" s="15" t="s">
        <v>61</v>
      </c>
      <c r="C47" s="15" t="s">
        <v>62</v>
      </c>
      <c r="D47" s="16">
        <v>20</v>
      </c>
      <c r="E47" s="129" t="s">
        <v>63</v>
      </c>
      <c r="F47" s="130"/>
      <c r="G47" s="15"/>
      <c r="H47" s="15"/>
      <c r="I47" s="15"/>
    </row>
    <row r="48" spans="1:9" s="12" customFormat="1" ht="19.5" customHeight="1" x14ac:dyDescent="0.3">
      <c r="A48" s="15">
        <v>44438</v>
      </c>
      <c r="B48" s="15" t="s">
        <v>64</v>
      </c>
      <c r="C48" s="15" t="s">
        <v>65</v>
      </c>
      <c r="D48" s="16">
        <v>20</v>
      </c>
      <c r="E48" s="129" t="s">
        <v>66</v>
      </c>
      <c r="F48" s="130"/>
      <c r="G48" s="15" t="s">
        <v>67</v>
      </c>
      <c r="H48" s="15"/>
      <c r="I48" s="15"/>
    </row>
    <row r="49" spans="1:9" s="12" customFormat="1" ht="19.5" customHeight="1" x14ac:dyDescent="0.3">
      <c r="A49" s="15">
        <v>44434</v>
      </c>
      <c r="B49" s="15" t="s">
        <v>68</v>
      </c>
      <c r="C49" s="15" t="s">
        <v>69</v>
      </c>
      <c r="D49" s="16">
        <v>30</v>
      </c>
      <c r="E49" s="129" t="s">
        <v>70</v>
      </c>
      <c r="F49" s="130"/>
      <c r="G49" s="15"/>
      <c r="H49" s="15"/>
      <c r="I49" s="15"/>
    </row>
    <row r="50" spans="1:9" s="12" customFormat="1" ht="19.5" customHeight="1" x14ac:dyDescent="0.3">
      <c r="A50" s="15">
        <v>44433</v>
      </c>
      <c r="B50" s="15" t="s">
        <v>71</v>
      </c>
      <c r="C50" s="15" t="s">
        <v>72</v>
      </c>
      <c r="D50" s="16">
        <v>100</v>
      </c>
      <c r="E50" s="129" t="s">
        <v>73</v>
      </c>
      <c r="F50" s="130"/>
      <c r="G50" s="15" t="s">
        <v>74</v>
      </c>
      <c r="H50" s="17" t="s">
        <v>75</v>
      </c>
      <c r="I50" s="15"/>
    </row>
    <row r="51" spans="1:9" s="12" customFormat="1" ht="19.5" customHeight="1" x14ac:dyDescent="0.3">
      <c r="A51" s="15">
        <v>44432</v>
      </c>
      <c r="B51" s="15" t="s">
        <v>76</v>
      </c>
      <c r="C51" s="15" t="s">
        <v>77</v>
      </c>
      <c r="D51" s="16">
        <v>30</v>
      </c>
      <c r="E51" s="129" t="s">
        <v>78</v>
      </c>
      <c r="F51" s="130"/>
      <c r="G51" s="15"/>
      <c r="H51" s="15"/>
      <c r="I51" s="15"/>
    </row>
    <row r="52" spans="1:9" s="12" customFormat="1" ht="19.5" customHeight="1" x14ac:dyDescent="0.3">
      <c r="A52" s="15">
        <v>44431</v>
      </c>
      <c r="B52" s="15" t="s">
        <v>79</v>
      </c>
      <c r="C52" s="15" t="s">
        <v>80</v>
      </c>
      <c r="D52" s="16">
        <v>20</v>
      </c>
      <c r="E52" s="129" t="s">
        <v>81</v>
      </c>
      <c r="F52" s="130"/>
      <c r="G52" s="15" t="s">
        <v>82</v>
      </c>
      <c r="H52" s="15"/>
      <c r="I52" s="15"/>
    </row>
    <row r="53" spans="1:9" s="12" customFormat="1" ht="19.5" customHeight="1" x14ac:dyDescent="0.3">
      <c r="A53" s="15">
        <v>44431</v>
      </c>
      <c r="B53" s="15" t="s">
        <v>83</v>
      </c>
      <c r="C53" s="15" t="s">
        <v>84</v>
      </c>
      <c r="D53" s="16">
        <v>20</v>
      </c>
      <c r="E53" s="129" t="s">
        <v>85</v>
      </c>
      <c r="F53" s="130"/>
      <c r="G53" s="15"/>
      <c r="H53" s="17" t="s">
        <v>86</v>
      </c>
      <c r="I53" s="15"/>
    </row>
    <row r="54" spans="1:9" s="12" customFormat="1" ht="19.5" customHeight="1" x14ac:dyDescent="0.3">
      <c r="A54" s="15">
        <v>44428</v>
      </c>
      <c r="B54" s="15" t="s">
        <v>87</v>
      </c>
      <c r="C54" s="15" t="s">
        <v>88</v>
      </c>
      <c r="D54" s="16">
        <v>10</v>
      </c>
      <c r="E54" s="129" t="s">
        <v>89</v>
      </c>
      <c r="F54" s="130"/>
      <c r="G54" s="15"/>
      <c r="H54" s="15"/>
      <c r="I54" s="15"/>
    </row>
    <row r="55" spans="1:9" s="12" customFormat="1" ht="19.5" customHeight="1" x14ac:dyDescent="0.3">
      <c r="A55" s="15">
        <v>44426</v>
      </c>
      <c r="B55" s="15" t="s">
        <v>90</v>
      </c>
      <c r="C55" s="15" t="s">
        <v>91</v>
      </c>
      <c r="D55" s="16">
        <v>18</v>
      </c>
      <c r="E55" s="129" t="s">
        <v>92</v>
      </c>
      <c r="F55" s="130"/>
      <c r="G55" s="15"/>
      <c r="H55" s="18" t="s">
        <v>93</v>
      </c>
      <c r="I55" s="15"/>
    </row>
    <row r="56" spans="1:9" s="12" customFormat="1" ht="19.5" customHeight="1" x14ac:dyDescent="0.3">
      <c r="A56" s="15">
        <v>44426</v>
      </c>
      <c r="B56" s="15" t="s">
        <v>94</v>
      </c>
      <c r="C56" s="15" t="s">
        <v>95</v>
      </c>
      <c r="D56" s="16">
        <v>20</v>
      </c>
      <c r="E56" s="129" t="s">
        <v>96</v>
      </c>
      <c r="F56" s="130"/>
      <c r="G56" s="15" t="s">
        <v>97</v>
      </c>
      <c r="H56" s="18" t="s">
        <v>98</v>
      </c>
      <c r="I56" s="15"/>
    </row>
    <row r="57" spans="1:9" s="12" customFormat="1" ht="19.5" customHeight="1" x14ac:dyDescent="0.3">
      <c r="A57" s="15">
        <v>44426</v>
      </c>
      <c r="B57" s="15" t="s">
        <v>99</v>
      </c>
      <c r="C57" s="15" t="s">
        <v>100</v>
      </c>
      <c r="D57" s="16">
        <v>60</v>
      </c>
      <c r="E57" s="129" t="s">
        <v>101</v>
      </c>
      <c r="F57" s="130"/>
      <c r="G57" s="15"/>
      <c r="H57" s="18" t="s">
        <v>98</v>
      </c>
      <c r="I57" s="15"/>
    </row>
    <row r="58" spans="1:9" s="12" customFormat="1" ht="19.5" customHeight="1" x14ac:dyDescent="0.3">
      <c r="A58" s="15">
        <v>44425</v>
      </c>
      <c r="B58" s="15" t="s">
        <v>102</v>
      </c>
      <c r="C58" s="15" t="s">
        <v>103</v>
      </c>
      <c r="D58" s="16">
        <v>16</v>
      </c>
      <c r="E58" s="129" t="s">
        <v>104</v>
      </c>
      <c r="F58" s="130"/>
      <c r="G58" s="15"/>
      <c r="H58" s="18" t="s">
        <v>105</v>
      </c>
      <c r="I58" s="15"/>
    </row>
    <row r="59" spans="1:9" s="12" customFormat="1" ht="19.5" customHeight="1" x14ac:dyDescent="0.3">
      <c r="A59" s="15">
        <v>44421</v>
      </c>
      <c r="B59" s="15" t="s">
        <v>106</v>
      </c>
      <c r="C59" s="15" t="s">
        <v>107</v>
      </c>
      <c r="D59" s="16">
        <v>20</v>
      </c>
      <c r="E59" s="129" t="s">
        <v>108</v>
      </c>
      <c r="F59" s="130"/>
      <c r="G59" s="15" t="s">
        <v>109</v>
      </c>
      <c r="H59" s="15"/>
      <c r="I59" s="15"/>
    </row>
    <row r="60" spans="1:9" s="12" customFormat="1" ht="19.5" customHeight="1" x14ac:dyDescent="0.3">
      <c r="A60" s="15">
        <v>44420</v>
      </c>
      <c r="B60" s="15" t="s">
        <v>110</v>
      </c>
      <c r="C60" s="15" t="s">
        <v>111</v>
      </c>
      <c r="D60" s="16">
        <v>20</v>
      </c>
      <c r="E60" s="129" t="s">
        <v>112</v>
      </c>
      <c r="F60" s="130"/>
      <c r="G60" s="15"/>
      <c r="H60" s="18" t="s">
        <v>113</v>
      </c>
      <c r="I60" s="15"/>
    </row>
    <row r="61" spans="1:9" s="12" customFormat="1" ht="19.5" customHeight="1" x14ac:dyDescent="0.3">
      <c r="A61" s="15">
        <v>44420</v>
      </c>
      <c r="B61" s="15" t="s">
        <v>114</v>
      </c>
      <c r="C61" s="15" t="s">
        <v>115</v>
      </c>
      <c r="D61" s="16">
        <v>60</v>
      </c>
      <c r="E61" s="129" t="s">
        <v>116</v>
      </c>
      <c r="F61" s="130"/>
      <c r="G61" s="15"/>
      <c r="H61" s="18" t="s">
        <v>117</v>
      </c>
      <c r="I61" s="15"/>
    </row>
    <row r="62" spans="1:9" s="12" customFormat="1" ht="19.5" customHeight="1" x14ac:dyDescent="0.3">
      <c r="A62" s="15">
        <v>44419</v>
      </c>
      <c r="B62" s="15" t="s">
        <v>118</v>
      </c>
      <c r="C62" s="15" t="s">
        <v>119</v>
      </c>
      <c r="D62" s="16">
        <v>60</v>
      </c>
      <c r="E62" s="129" t="s">
        <v>120</v>
      </c>
      <c r="F62" s="130"/>
      <c r="G62" s="15"/>
      <c r="H62" s="17" t="s">
        <v>121</v>
      </c>
      <c r="I62" s="15"/>
    </row>
    <row r="63" spans="1:9" s="12" customFormat="1" ht="19.5" customHeight="1" x14ac:dyDescent="0.3">
      <c r="A63" s="15">
        <v>44418</v>
      </c>
      <c r="B63" s="15" t="s">
        <v>122</v>
      </c>
      <c r="C63" s="15" t="s">
        <v>123</v>
      </c>
      <c r="D63" s="16">
        <v>30</v>
      </c>
      <c r="E63" s="129" t="s">
        <v>124</v>
      </c>
      <c r="F63" s="130"/>
      <c r="G63" s="15" t="s">
        <v>125</v>
      </c>
      <c r="H63" s="15"/>
      <c r="I63" s="15"/>
    </row>
    <row r="64" spans="1:9" s="12" customFormat="1" ht="19.5" customHeight="1" x14ac:dyDescent="0.3">
      <c r="A64" s="15">
        <v>44418</v>
      </c>
      <c r="B64" s="15" t="s">
        <v>122</v>
      </c>
      <c r="C64" s="15" t="s">
        <v>126</v>
      </c>
      <c r="D64" s="16">
        <v>40</v>
      </c>
      <c r="E64" s="129" t="s">
        <v>127</v>
      </c>
      <c r="F64" s="130"/>
      <c r="G64" s="15"/>
      <c r="H64" s="18" t="s">
        <v>82</v>
      </c>
      <c r="I64" s="15"/>
    </row>
    <row r="65" spans="1:9" s="12" customFormat="1" ht="19.5" customHeight="1" x14ac:dyDescent="0.3">
      <c r="A65" s="15">
        <v>44418</v>
      </c>
      <c r="B65" s="15" t="s">
        <v>128</v>
      </c>
      <c r="C65" s="15" t="s">
        <v>129</v>
      </c>
      <c r="D65" s="16">
        <v>45</v>
      </c>
      <c r="E65" s="129" t="s">
        <v>130</v>
      </c>
      <c r="F65" s="130"/>
      <c r="G65" s="15" t="s">
        <v>67</v>
      </c>
      <c r="H65" s="15"/>
      <c r="I65" s="15"/>
    </row>
    <row r="66" spans="1:9" s="12" customFormat="1" ht="19.5" customHeight="1" x14ac:dyDescent="0.3">
      <c r="A66" s="15">
        <v>44418</v>
      </c>
      <c r="B66" s="15" t="s">
        <v>131</v>
      </c>
      <c r="C66" s="15" t="s">
        <v>132</v>
      </c>
      <c r="D66" s="16">
        <v>30</v>
      </c>
      <c r="E66" s="129" t="s">
        <v>133</v>
      </c>
      <c r="F66" s="130"/>
      <c r="G66" s="15"/>
      <c r="H66" s="15"/>
      <c r="I66" s="15"/>
    </row>
    <row r="67" spans="1:9" s="12" customFormat="1" ht="19.5" customHeight="1" x14ac:dyDescent="0.3">
      <c r="A67" s="15">
        <v>44414</v>
      </c>
      <c r="B67" s="15" t="s">
        <v>106</v>
      </c>
      <c r="C67" s="15" t="s">
        <v>134</v>
      </c>
      <c r="D67" s="16">
        <v>70</v>
      </c>
      <c r="E67" s="129" t="s">
        <v>135</v>
      </c>
      <c r="F67" s="130"/>
      <c r="G67" s="15"/>
      <c r="H67" s="18" t="s">
        <v>74</v>
      </c>
      <c r="I67" s="15"/>
    </row>
    <row r="68" spans="1:9" s="12" customFormat="1" ht="19.5" customHeight="1" x14ac:dyDescent="0.3">
      <c r="A68" s="15">
        <v>44411</v>
      </c>
      <c r="B68" s="15" t="s">
        <v>136</v>
      </c>
      <c r="C68" s="15" t="s">
        <v>137</v>
      </c>
      <c r="D68" s="16">
        <v>54</v>
      </c>
      <c r="E68" s="129" t="s">
        <v>138</v>
      </c>
      <c r="F68" s="130"/>
      <c r="G68" s="15" t="s">
        <v>74</v>
      </c>
      <c r="H68" s="18" t="s">
        <v>74</v>
      </c>
      <c r="I68" s="15"/>
    </row>
    <row r="69" spans="1:9" s="12" customFormat="1" ht="19.5" customHeight="1" x14ac:dyDescent="0.3">
      <c r="A69" s="15">
        <v>44410</v>
      </c>
      <c r="B69" s="15" t="s">
        <v>122</v>
      </c>
      <c r="C69" s="15" t="s">
        <v>139</v>
      </c>
      <c r="D69" s="16">
        <v>30</v>
      </c>
      <c r="E69" s="129" t="s">
        <v>140</v>
      </c>
      <c r="F69" s="130"/>
      <c r="G69" s="15" t="s">
        <v>82</v>
      </c>
      <c r="H69" s="18" t="s">
        <v>82</v>
      </c>
      <c r="I69" s="15"/>
    </row>
    <row r="70" spans="1:9" s="12" customFormat="1" ht="19.5" customHeight="1" x14ac:dyDescent="0.3">
      <c r="A70" s="15">
        <v>44410</v>
      </c>
      <c r="B70" s="15" t="s">
        <v>141</v>
      </c>
      <c r="C70" s="15" t="s">
        <v>142</v>
      </c>
      <c r="D70" s="16">
        <v>80</v>
      </c>
      <c r="E70" s="129" t="s">
        <v>143</v>
      </c>
      <c r="F70" s="130"/>
      <c r="G70" s="15" t="s">
        <v>144</v>
      </c>
      <c r="H70" s="18" t="s">
        <v>67</v>
      </c>
      <c r="I70" s="15"/>
    </row>
    <row r="71" spans="1:9" s="12" customFormat="1" ht="19.5" hidden="1" customHeight="1" x14ac:dyDescent="0.3">
      <c r="A71" s="15">
        <v>44403</v>
      </c>
      <c r="B71" s="15" t="s">
        <v>145</v>
      </c>
      <c r="C71" s="15" t="s">
        <v>146</v>
      </c>
      <c r="D71" s="16">
        <v>70</v>
      </c>
      <c r="E71" s="129" t="s">
        <v>147</v>
      </c>
      <c r="F71" s="130"/>
      <c r="G71" s="15"/>
      <c r="H71" s="15"/>
      <c r="I71" s="15"/>
    </row>
    <row r="72" spans="1:9" s="12" customFormat="1" ht="19.5" hidden="1" customHeight="1" x14ac:dyDescent="0.3">
      <c r="A72" s="15">
        <v>44403</v>
      </c>
      <c r="B72" s="15" t="s">
        <v>148</v>
      </c>
      <c r="C72" s="15" t="s">
        <v>148</v>
      </c>
      <c r="D72" s="16">
        <v>50</v>
      </c>
      <c r="E72" s="129" t="s">
        <v>149</v>
      </c>
      <c r="F72" s="130"/>
      <c r="G72" s="15" t="s">
        <v>150</v>
      </c>
      <c r="H72" s="15"/>
      <c r="I72" s="15"/>
    </row>
    <row r="73" spans="1:9" s="12" customFormat="1" ht="19.5" hidden="1" customHeight="1" x14ac:dyDescent="0.3">
      <c r="A73" s="15">
        <v>44403</v>
      </c>
      <c r="B73" s="15" t="s">
        <v>151</v>
      </c>
      <c r="C73" s="15" t="s">
        <v>152</v>
      </c>
      <c r="D73" s="16">
        <v>25</v>
      </c>
      <c r="E73" s="129" t="s">
        <v>153</v>
      </c>
      <c r="F73" s="130"/>
      <c r="G73" s="15"/>
      <c r="H73" s="15"/>
      <c r="I73" s="15"/>
    </row>
    <row r="74" spans="1:9" s="12" customFormat="1" ht="19.5" hidden="1" customHeight="1" x14ac:dyDescent="0.3">
      <c r="A74" s="15">
        <v>44403</v>
      </c>
      <c r="B74" s="15" t="s">
        <v>154</v>
      </c>
      <c r="C74" s="15" t="s">
        <v>155</v>
      </c>
      <c r="D74" s="16">
        <v>40</v>
      </c>
      <c r="E74" s="129" t="s">
        <v>156</v>
      </c>
      <c r="F74" s="130"/>
      <c r="G74" s="15"/>
      <c r="H74" s="15"/>
      <c r="I74" s="15"/>
    </row>
    <row r="75" spans="1:9" s="12" customFormat="1" ht="19.5" hidden="1" customHeight="1" x14ac:dyDescent="0.3">
      <c r="A75" s="15">
        <v>44399</v>
      </c>
      <c r="B75" s="15" t="s">
        <v>157</v>
      </c>
      <c r="C75" s="15" t="s">
        <v>158</v>
      </c>
      <c r="D75" s="16" t="s">
        <v>159</v>
      </c>
      <c r="E75" s="129" t="s">
        <v>160</v>
      </c>
      <c r="F75" s="130"/>
      <c r="G75" s="15" t="s">
        <v>82</v>
      </c>
      <c r="H75" s="15"/>
      <c r="I75" s="15"/>
    </row>
    <row r="76" spans="1:9" s="12" customFormat="1" ht="19.5" hidden="1" customHeight="1" x14ac:dyDescent="0.3">
      <c r="A76" s="15">
        <v>44397</v>
      </c>
      <c r="B76" s="15" t="s">
        <v>145</v>
      </c>
      <c r="C76" s="15" t="s">
        <v>161</v>
      </c>
      <c r="D76" s="16">
        <v>20</v>
      </c>
      <c r="E76" s="129" t="s">
        <v>162</v>
      </c>
      <c r="F76" s="130"/>
      <c r="G76" s="15"/>
      <c r="H76" s="19" t="s">
        <v>82</v>
      </c>
      <c r="I76" s="15"/>
    </row>
    <row r="77" spans="1:9" s="12" customFormat="1" ht="19.5" hidden="1" customHeight="1" x14ac:dyDescent="0.3">
      <c r="A77" s="15">
        <v>44397</v>
      </c>
      <c r="B77" s="15" t="s">
        <v>131</v>
      </c>
      <c r="C77" s="15" t="s">
        <v>132</v>
      </c>
      <c r="D77" s="16">
        <v>30</v>
      </c>
      <c r="E77" s="129" t="s">
        <v>133</v>
      </c>
      <c r="F77" s="130"/>
      <c r="G77" s="15"/>
      <c r="H77" s="15"/>
      <c r="I77" s="15"/>
    </row>
    <row r="78" spans="1:9" s="12" customFormat="1" ht="19.5" hidden="1" customHeight="1" x14ac:dyDescent="0.3">
      <c r="A78" s="15">
        <v>44396</v>
      </c>
      <c r="B78" s="15" t="s">
        <v>163</v>
      </c>
      <c r="C78" s="15" t="s">
        <v>164</v>
      </c>
      <c r="D78" s="16">
        <v>60</v>
      </c>
      <c r="E78" s="129" t="s">
        <v>165</v>
      </c>
      <c r="F78" s="130"/>
      <c r="G78" s="15" t="s">
        <v>166</v>
      </c>
      <c r="H78" s="15"/>
      <c r="I78" s="15"/>
    </row>
    <row r="79" spans="1:9" s="12" customFormat="1" ht="19.5" hidden="1" customHeight="1" x14ac:dyDescent="0.3">
      <c r="A79" s="15">
        <v>44393</v>
      </c>
      <c r="B79" s="15" t="s">
        <v>167</v>
      </c>
      <c r="C79" s="15" t="s">
        <v>168</v>
      </c>
      <c r="D79" s="16">
        <v>15</v>
      </c>
      <c r="E79" s="129" t="s">
        <v>169</v>
      </c>
      <c r="F79" s="130"/>
      <c r="G79" s="15"/>
      <c r="H79" s="15"/>
      <c r="I79" s="15"/>
    </row>
    <row r="80" spans="1:9" s="12" customFormat="1" ht="19.5" hidden="1" customHeight="1" x14ac:dyDescent="0.3">
      <c r="A80" s="15">
        <v>44393</v>
      </c>
      <c r="B80" s="15" t="s">
        <v>170</v>
      </c>
      <c r="C80" s="15" t="s">
        <v>171</v>
      </c>
      <c r="D80" s="16">
        <v>30</v>
      </c>
      <c r="E80" s="129" t="s">
        <v>172</v>
      </c>
      <c r="F80" s="130"/>
      <c r="G80" s="15"/>
      <c r="H80" s="15"/>
      <c r="I80" s="15"/>
    </row>
    <row r="81" spans="1:9" s="12" customFormat="1" ht="19.5" hidden="1" customHeight="1" x14ac:dyDescent="0.3">
      <c r="A81" s="15">
        <v>44392</v>
      </c>
      <c r="B81" s="15" t="s">
        <v>173</v>
      </c>
      <c r="C81" s="15" t="s">
        <v>174</v>
      </c>
      <c r="D81" s="16">
        <v>10</v>
      </c>
      <c r="E81" s="129" t="s">
        <v>175</v>
      </c>
      <c r="F81" s="130"/>
      <c r="G81" s="15" t="s">
        <v>176</v>
      </c>
      <c r="H81" s="15"/>
      <c r="I81" s="15"/>
    </row>
    <row r="82" spans="1:9" s="12" customFormat="1" ht="19.5" hidden="1" customHeight="1" x14ac:dyDescent="0.3">
      <c r="A82" s="15">
        <v>44392</v>
      </c>
      <c r="B82" s="15" t="s">
        <v>177</v>
      </c>
      <c r="C82" s="15" t="s">
        <v>178</v>
      </c>
      <c r="D82" s="16">
        <v>30</v>
      </c>
      <c r="E82" s="129" t="s">
        <v>179</v>
      </c>
      <c r="F82" s="130"/>
      <c r="G82" s="15"/>
      <c r="H82" s="15"/>
      <c r="I82" s="15"/>
    </row>
    <row r="83" spans="1:9" s="12" customFormat="1" ht="19.5" hidden="1" customHeight="1" x14ac:dyDescent="0.3">
      <c r="A83" s="15">
        <v>44392</v>
      </c>
      <c r="B83" s="15" t="s">
        <v>180</v>
      </c>
      <c r="C83" s="15" t="s">
        <v>181</v>
      </c>
      <c r="D83" s="16">
        <v>80</v>
      </c>
      <c r="E83" s="129" t="s">
        <v>182</v>
      </c>
      <c r="F83" s="130"/>
      <c r="G83" s="15" t="s">
        <v>74</v>
      </c>
      <c r="H83" s="19" t="s">
        <v>183</v>
      </c>
      <c r="I83" s="15"/>
    </row>
    <row r="84" spans="1:9" s="12" customFormat="1" ht="19.5" hidden="1" customHeight="1" x14ac:dyDescent="0.3">
      <c r="A84" s="15">
        <v>44390</v>
      </c>
      <c r="B84" s="15" t="s">
        <v>184</v>
      </c>
      <c r="C84" s="15" t="s">
        <v>62</v>
      </c>
      <c r="D84" s="16">
        <v>50</v>
      </c>
      <c r="E84" s="129" t="s">
        <v>185</v>
      </c>
      <c r="F84" s="130"/>
      <c r="G84" s="15" t="s">
        <v>186</v>
      </c>
      <c r="H84" s="19" t="s">
        <v>183</v>
      </c>
      <c r="I84" s="15" t="s">
        <v>187</v>
      </c>
    </row>
    <row r="85" spans="1:9" s="12" customFormat="1" ht="19.5" hidden="1" customHeight="1" x14ac:dyDescent="0.3">
      <c r="A85" s="15">
        <v>44385</v>
      </c>
      <c r="B85" s="15" t="s">
        <v>188</v>
      </c>
      <c r="C85" s="15" t="s">
        <v>189</v>
      </c>
      <c r="D85" s="16"/>
      <c r="E85" s="20"/>
      <c r="F85" s="21"/>
      <c r="G85" s="15"/>
      <c r="H85" s="19" t="s">
        <v>98</v>
      </c>
      <c r="I85" s="15"/>
    </row>
    <row r="86" spans="1:9" s="12" customFormat="1" ht="19.5" hidden="1" customHeight="1" x14ac:dyDescent="0.3">
      <c r="A86" s="15">
        <v>44384</v>
      </c>
      <c r="B86" s="15" t="s">
        <v>122</v>
      </c>
      <c r="C86" s="15" t="s">
        <v>190</v>
      </c>
      <c r="D86" s="16">
        <v>30</v>
      </c>
      <c r="E86" s="129" t="s">
        <v>191</v>
      </c>
      <c r="F86" s="130"/>
      <c r="G86" s="15"/>
      <c r="H86" s="19" t="s">
        <v>192</v>
      </c>
      <c r="I86" s="15"/>
    </row>
    <row r="87" spans="1:9" s="12" customFormat="1" ht="19.5" hidden="1" customHeight="1" x14ac:dyDescent="0.3">
      <c r="A87" s="15">
        <v>44384</v>
      </c>
      <c r="B87" s="15" t="s">
        <v>193</v>
      </c>
      <c r="C87" s="15" t="s">
        <v>194</v>
      </c>
      <c r="D87" s="16"/>
      <c r="E87" s="129" t="s">
        <v>195</v>
      </c>
      <c r="F87" s="130"/>
      <c r="G87" s="15"/>
      <c r="H87" s="19" t="s">
        <v>195</v>
      </c>
      <c r="I87" s="15"/>
    </row>
    <row r="88" spans="1:9" s="12" customFormat="1" ht="19.5" hidden="1" customHeight="1" x14ac:dyDescent="0.3">
      <c r="A88" s="15">
        <v>44384</v>
      </c>
      <c r="B88" s="15" t="s">
        <v>122</v>
      </c>
      <c r="C88" s="15" t="s">
        <v>196</v>
      </c>
      <c r="D88" s="16">
        <v>30</v>
      </c>
      <c r="E88" s="129" t="s">
        <v>197</v>
      </c>
      <c r="F88" s="130"/>
      <c r="G88" s="15" t="s">
        <v>82</v>
      </c>
      <c r="H88" s="19" t="s">
        <v>82</v>
      </c>
      <c r="I88" s="15"/>
    </row>
    <row r="89" spans="1:9" s="12" customFormat="1" ht="19.5" hidden="1" customHeight="1" x14ac:dyDescent="0.3">
      <c r="A89" s="15">
        <v>44383</v>
      </c>
      <c r="B89" s="15" t="s">
        <v>198</v>
      </c>
      <c r="C89" s="15" t="s">
        <v>199</v>
      </c>
      <c r="D89" s="16">
        <v>70</v>
      </c>
      <c r="E89" s="129" t="s">
        <v>200</v>
      </c>
      <c r="F89" s="130"/>
      <c r="G89" s="15"/>
      <c r="H89" s="19" t="s">
        <v>186</v>
      </c>
      <c r="I89" s="15"/>
    </row>
    <row r="90" spans="1:9" s="12" customFormat="1" ht="19.5" hidden="1" customHeight="1" x14ac:dyDescent="0.3">
      <c r="A90" s="15">
        <v>44378</v>
      </c>
      <c r="B90" s="15" t="s">
        <v>201</v>
      </c>
      <c r="C90" s="15" t="s">
        <v>202</v>
      </c>
      <c r="D90" s="16">
        <v>50</v>
      </c>
      <c r="E90" s="129" t="s">
        <v>203</v>
      </c>
      <c r="F90" s="130"/>
      <c r="G90" s="15"/>
      <c r="H90" s="19" t="s">
        <v>82</v>
      </c>
      <c r="I90" s="15"/>
    </row>
    <row r="91" spans="1:9" ht="22.15" customHeight="1" x14ac:dyDescent="0.3">
      <c r="E91" s="22"/>
    </row>
    <row r="92" spans="1:9" ht="22.5" customHeight="1" x14ac:dyDescent="0.3">
      <c r="A92" s="76" t="s">
        <v>204</v>
      </c>
      <c r="B92" s="76"/>
      <c r="C92" s="76"/>
      <c r="D92" s="76"/>
    </row>
    <row r="93" spans="1:9" ht="22.5" customHeight="1" x14ac:dyDescent="0.3">
      <c r="A93" s="23" t="s">
        <v>205</v>
      </c>
    </row>
    <row r="94" spans="1:9" ht="22.5" customHeight="1" x14ac:dyDescent="0.3">
      <c r="A94" s="22" t="s">
        <v>206</v>
      </c>
    </row>
    <row r="95" spans="1:9" ht="23.25" customHeight="1" x14ac:dyDescent="0.3">
      <c r="A95" s="24" t="s">
        <v>207</v>
      </c>
      <c r="B95" s="25" t="s">
        <v>208</v>
      </c>
      <c r="C95" s="26" t="s">
        <v>209</v>
      </c>
      <c r="D95" s="27" t="s">
        <v>210</v>
      </c>
      <c r="E95" s="28" t="s">
        <v>211</v>
      </c>
      <c r="F95" s="115" t="s">
        <v>212</v>
      </c>
      <c r="G95" s="116"/>
      <c r="H95" s="116"/>
    </row>
    <row r="96" spans="1:9" s="9" customFormat="1" ht="22.5" customHeight="1" x14ac:dyDescent="0.3">
      <c r="A96" s="80" t="s">
        <v>213</v>
      </c>
      <c r="B96" s="29">
        <v>110</v>
      </c>
      <c r="C96" s="30">
        <v>149</v>
      </c>
      <c r="D96" s="117">
        <f>2407+B98</f>
        <v>2622</v>
      </c>
      <c r="E96" s="120">
        <v>2203</v>
      </c>
      <c r="F96" s="86" t="s">
        <v>214</v>
      </c>
      <c r="G96" s="87"/>
      <c r="H96" s="87"/>
    </row>
    <row r="97" spans="1:8" s="9" customFormat="1" ht="22.5" customHeight="1" x14ac:dyDescent="0.3">
      <c r="A97" s="81"/>
      <c r="B97" s="29">
        <v>105</v>
      </c>
      <c r="C97" s="30">
        <v>112</v>
      </c>
      <c r="D97" s="118"/>
      <c r="E97" s="121"/>
      <c r="F97" s="88"/>
      <c r="G97" s="89"/>
      <c r="H97" s="89"/>
    </row>
    <row r="98" spans="1:8" s="9" customFormat="1" ht="22.5" customHeight="1" x14ac:dyDescent="0.3">
      <c r="A98" s="31" t="s">
        <v>215</v>
      </c>
      <c r="B98" s="32">
        <f>SUM(B96:B97)</f>
        <v>215</v>
      </c>
      <c r="C98" s="33">
        <f>SUM(C96:C97)</f>
        <v>261</v>
      </c>
      <c r="D98" s="119"/>
      <c r="E98" s="122"/>
      <c r="F98" s="111"/>
      <c r="G98" s="112"/>
      <c r="H98" s="112"/>
    </row>
    <row r="99" spans="1:8" s="9" customFormat="1" ht="22.5" customHeight="1" x14ac:dyDescent="0.3">
      <c r="A99" s="80" t="s">
        <v>105</v>
      </c>
      <c r="B99" s="29">
        <v>85</v>
      </c>
      <c r="C99" s="30">
        <v>95</v>
      </c>
      <c r="D99" s="123">
        <f>2106+B101</f>
        <v>2296</v>
      </c>
      <c r="E99" s="126">
        <v>1665</v>
      </c>
      <c r="F99" s="86" t="s">
        <v>216</v>
      </c>
      <c r="G99" s="87"/>
      <c r="H99" s="87"/>
    </row>
    <row r="100" spans="1:8" s="9" customFormat="1" ht="22.5" customHeight="1" x14ac:dyDescent="0.3">
      <c r="A100" s="81"/>
      <c r="B100" s="29">
        <v>105</v>
      </c>
      <c r="C100" s="30">
        <v>112</v>
      </c>
      <c r="D100" s="124"/>
      <c r="E100" s="127"/>
      <c r="F100" s="88"/>
      <c r="G100" s="89"/>
      <c r="H100" s="89"/>
    </row>
    <row r="101" spans="1:8" s="9" customFormat="1" ht="22.5" customHeight="1" x14ac:dyDescent="0.3">
      <c r="A101" s="31" t="s">
        <v>215</v>
      </c>
      <c r="B101" s="32">
        <f>SUM(B99:B100)</f>
        <v>190</v>
      </c>
      <c r="C101" s="33">
        <f>SUM(C99:C100)</f>
        <v>207</v>
      </c>
      <c r="D101" s="125"/>
      <c r="E101" s="128"/>
      <c r="F101" s="111"/>
      <c r="G101" s="112"/>
      <c r="H101" s="112"/>
    </row>
    <row r="102" spans="1:8" s="9" customFormat="1" ht="22.5" customHeight="1" x14ac:dyDescent="0.3">
      <c r="A102" s="80" t="s">
        <v>217</v>
      </c>
      <c r="B102" s="29">
        <v>70</v>
      </c>
      <c r="C102" s="30">
        <v>70</v>
      </c>
      <c r="D102" s="97">
        <f>1356+B104</f>
        <v>1496</v>
      </c>
      <c r="E102" s="100">
        <v>1392</v>
      </c>
      <c r="F102" s="86" t="s">
        <v>218</v>
      </c>
      <c r="G102" s="87"/>
      <c r="H102" s="87"/>
    </row>
    <row r="103" spans="1:8" s="9" customFormat="1" ht="22.5" customHeight="1" x14ac:dyDescent="0.3">
      <c r="A103" s="81"/>
      <c r="B103" s="29">
        <v>70</v>
      </c>
      <c r="C103" s="30">
        <v>80</v>
      </c>
      <c r="D103" s="98"/>
      <c r="E103" s="101"/>
      <c r="F103" s="88"/>
      <c r="G103" s="89"/>
      <c r="H103" s="89"/>
    </row>
    <row r="104" spans="1:8" s="9" customFormat="1" ht="22.5" customHeight="1" x14ac:dyDescent="0.3">
      <c r="A104" s="31" t="s">
        <v>215</v>
      </c>
      <c r="B104" s="32">
        <f>SUM(B102:B103)</f>
        <v>140</v>
      </c>
      <c r="C104" s="33">
        <f>SUM(C102:C103)</f>
        <v>150</v>
      </c>
      <c r="D104" s="99"/>
      <c r="E104" s="102"/>
      <c r="F104" s="111"/>
      <c r="G104" s="112"/>
      <c r="H104" s="112"/>
    </row>
    <row r="105" spans="1:8" s="9" customFormat="1" ht="22.5" customHeight="1" x14ac:dyDescent="0.3">
      <c r="A105" s="113" t="s">
        <v>219</v>
      </c>
      <c r="B105" s="29">
        <v>62</v>
      </c>
      <c r="C105" s="30">
        <v>80</v>
      </c>
      <c r="D105" s="97">
        <f>1210+B107</f>
        <v>1347</v>
      </c>
      <c r="E105" s="100">
        <v>1316</v>
      </c>
      <c r="F105" s="86" t="s">
        <v>220</v>
      </c>
      <c r="G105" s="87"/>
      <c r="H105" s="87"/>
    </row>
    <row r="106" spans="1:8" s="9" customFormat="1" ht="22.5" customHeight="1" x14ac:dyDescent="0.3">
      <c r="A106" s="114"/>
      <c r="B106" s="29">
        <v>75</v>
      </c>
      <c r="C106" s="30">
        <v>65</v>
      </c>
      <c r="D106" s="98"/>
      <c r="E106" s="101"/>
      <c r="F106" s="88"/>
      <c r="G106" s="89"/>
      <c r="H106" s="89"/>
    </row>
    <row r="107" spans="1:8" s="9" customFormat="1" ht="22.5" customHeight="1" x14ac:dyDescent="0.3">
      <c r="A107" s="31" t="s">
        <v>215</v>
      </c>
      <c r="B107" s="32">
        <f>SUM(B105:B106)</f>
        <v>137</v>
      </c>
      <c r="C107" s="33">
        <f>SUM(C105:C106)</f>
        <v>145</v>
      </c>
      <c r="D107" s="99"/>
      <c r="E107" s="102"/>
      <c r="F107" s="111"/>
      <c r="G107" s="112"/>
      <c r="H107" s="112"/>
    </row>
    <row r="108" spans="1:8" s="9" customFormat="1" ht="22.5" customHeight="1" x14ac:dyDescent="0.3">
      <c r="A108" s="95" t="s">
        <v>221</v>
      </c>
      <c r="B108" s="29">
        <v>39</v>
      </c>
      <c r="C108" s="30">
        <v>39</v>
      </c>
      <c r="D108" s="97">
        <f>715+B110</f>
        <v>819</v>
      </c>
      <c r="E108" s="84">
        <v>736</v>
      </c>
      <c r="F108" s="103" t="s">
        <v>222</v>
      </c>
      <c r="G108" s="93"/>
      <c r="H108" s="93"/>
    </row>
    <row r="109" spans="1:8" s="9" customFormat="1" ht="22.5" customHeight="1" x14ac:dyDescent="0.3">
      <c r="A109" s="96"/>
      <c r="B109" s="29">
        <v>65</v>
      </c>
      <c r="C109" s="30">
        <v>52</v>
      </c>
      <c r="D109" s="98"/>
      <c r="E109" s="85"/>
      <c r="F109" s="104"/>
      <c r="G109" s="94"/>
      <c r="H109" s="94"/>
    </row>
    <row r="110" spans="1:8" s="9" customFormat="1" ht="22.5" customHeight="1" x14ac:dyDescent="0.3">
      <c r="A110" s="31" t="s">
        <v>215</v>
      </c>
      <c r="B110" s="32">
        <f>SUM(B108:B109)</f>
        <v>104</v>
      </c>
      <c r="C110" s="33">
        <f>SUM(C108:C109)</f>
        <v>91</v>
      </c>
      <c r="D110" s="99"/>
      <c r="E110" s="107"/>
      <c r="F110" s="105"/>
      <c r="G110" s="106"/>
      <c r="H110" s="106"/>
    </row>
    <row r="111" spans="1:8" s="9" customFormat="1" ht="22.5" customHeight="1" x14ac:dyDescent="0.3">
      <c r="A111" s="95" t="s">
        <v>223</v>
      </c>
      <c r="B111" s="29">
        <v>44</v>
      </c>
      <c r="C111" s="30">
        <v>38</v>
      </c>
      <c r="D111" s="108">
        <f>671+B113</f>
        <v>769</v>
      </c>
      <c r="E111" s="84">
        <v>923</v>
      </c>
      <c r="F111" s="103" t="s">
        <v>224</v>
      </c>
      <c r="G111" s="93"/>
      <c r="H111" s="93"/>
    </row>
    <row r="112" spans="1:8" s="9" customFormat="1" ht="22.5" customHeight="1" x14ac:dyDescent="0.3">
      <c r="A112" s="96"/>
      <c r="B112" s="29">
        <v>54</v>
      </c>
      <c r="C112" s="30">
        <v>44</v>
      </c>
      <c r="D112" s="109"/>
      <c r="E112" s="85"/>
      <c r="F112" s="104"/>
      <c r="G112" s="94"/>
      <c r="H112" s="94"/>
    </row>
    <row r="113" spans="1:8" s="9" customFormat="1" ht="22.5" customHeight="1" x14ac:dyDescent="0.3">
      <c r="A113" s="31" t="s">
        <v>215</v>
      </c>
      <c r="B113" s="32">
        <f>SUM(B111:B112)</f>
        <v>98</v>
      </c>
      <c r="C113" s="33">
        <f>SUM(C111:C112)</f>
        <v>82</v>
      </c>
      <c r="D113" s="110"/>
      <c r="E113" s="107"/>
      <c r="F113" s="105"/>
      <c r="G113" s="106"/>
      <c r="H113" s="106"/>
    </row>
    <row r="114" spans="1:8" s="9" customFormat="1" ht="22.5" customHeight="1" x14ac:dyDescent="0.3">
      <c r="A114" s="95" t="s">
        <v>225</v>
      </c>
      <c r="B114" s="29">
        <v>34</v>
      </c>
      <c r="C114" s="30">
        <v>18</v>
      </c>
      <c r="D114" s="97">
        <f>422+B116</f>
        <v>486</v>
      </c>
      <c r="E114" s="100">
        <v>406</v>
      </c>
      <c r="F114" s="103" t="s">
        <v>226</v>
      </c>
      <c r="G114" s="93"/>
      <c r="H114" s="93"/>
    </row>
    <row r="115" spans="1:8" s="9" customFormat="1" ht="22.5" customHeight="1" x14ac:dyDescent="0.3">
      <c r="A115" s="96"/>
      <c r="B115" s="29">
        <v>30</v>
      </c>
      <c r="C115" s="30">
        <v>27</v>
      </c>
      <c r="D115" s="98"/>
      <c r="E115" s="101"/>
      <c r="F115" s="104"/>
      <c r="G115" s="94"/>
      <c r="H115" s="94"/>
    </row>
    <row r="116" spans="1:8" s="9" customFormat="1" ht="22.5" customHeight="1" x14ac:dyDescent="0.3">
      <c r="A116" s="31" t="s">
        <v>215</v>
      </c>
      <c r="B116" s="32">
        <f>SUM(B114:B115)</f>
        <v>64</v>
      </c>
      <c r="C116" s="33">
        <f>SUM(C114:C115)</f>
        <v>45</v>
      </c>
      <c r="D116" s="99"/>
      <c r="E116" s="102"/>
      <c r="F116" s="105"/>
      <c r="G116" s="106"/>
      <c r="H116" s="106"/>
    </row>
    <row r="117" spans="1:8" ht="22.5" customHeight="1" x14ac:dyDescent="0.3">
      <c r="A117" s="80" t="s">
        <v>227</v>
      </c>
      <c r="B117" s="29">
        <v>18</v>
      </c>
      <c r="C117" s="30">
        <v>19.8</v>
      </c>
      <c r="D117" s="97">
        <f>315.9+B119</f>
        <v>370.7</v>
      </c>
      <c r="E117" s="100">
        <v>315</v>
      </c>
      <c r="F117" s="86" t="s">
        <v>228</v>
      </c>
      <c r="G117" s="93"/>
      <c r="H117" s="93"/>
    </row>
    <row r="118" spans="1:8" ht="22.5" customHeight="1" x14ac:dyDescent="0.3">
      <c r="A118" s="81"/>
      <c r="B118" s="29">
        <v>36.799999999999997</v>
      </c>
      <c r="C118" s="30">
        <v>46.1</v>
      </c>
      <c r="D118" s="98"/>
      <c r="E118" s="101"/>
      <c r="F118" s="104"/>
      <c r="G118" s="94"/>
      <c r="H118" s="94"/>
    </row>
    <row r="119" spans="1:8" ht="22.5" customHeight="1" x14ac:dyDescent="0.3">
      <c r="A119" s="31" t="s">
        <v>215</v>
      </c>
      <c r="B119" s="32">
        <f>SUM(B117:B118)</f>
        <v>54.8</v>
      </c>
      <c r="C119" s="33">
        <f>SUM(C117:C118)</f>
        <v>65.900000000000006</v>
      </c>
      <c r="D119" s="99"/>
      <c r="E119" s="102"/>
      <c r="F119" s="105"/>
      <c r="G119" s="106"/>
      <c r="H119" s="106"/>
    </row>
    <row r="120" spans="1:8" ht="22.5" customHeight="1" x14ac:dyDescent="0.3">
      <c r="A120" s="80" t="s">
        <v>229</v>
      </c>
      <c r="B120" s="29">
        <v>11.5</v>
      </c>
      <c r="C120" s="30">
        <v>15.8</v>
      </c>
      <c r="D120" s="82">
        <f>284.6+B122</f>
        <v>330.6</v>
      </c>
      <c r="E120" s="84">
        <v>330</v>
      </c>
      <c r="F120" s="86" t="s">
        <v>230</v>
      </c>
      <c r="G120" s="87"/>
      <c r="H120" s="87"/>
    </row>
    <row r="121" spans="1:8" s="34" customFormat="1" ht="22.5" customHeight="1" x14ac:dyDescent="0.3">
      <c r="A121" s="81"/>
      <c r="B121" s="29">
        <v>34.5</v>
      </c>
      <c r="C121" s="30">
        <v>47.2</v>
      </c>
      <c r="D121" s="83"/>
      <c r="E121" s="85"/>
      <c r="F121" s="88"/>
      <c r="G121" s="89"/>
      <c r="H121" s="89"/>
    </row>
    <row r="122" spans="1:8" ht="22.5" customHeight="1" x14ac:dyDescent="0.3">
      <c r="A122" s="31" t="s">
        <v>215</v>
      </c>
      <c r="B122" s="32">
        <f>SUM(B120:B121)</f>
        <v>46</v>
      </c>
      <c r="C122" s="33">
        <f>SUM(C120:C121)</f>
        <v>63</v>
      </c>
      <c r="D122" s="83"/>
      <c r="E122" s="85"/>
      <c r="F122" s="88"/>
      <c r="G122" s="89"/>
      <c r="H122" s="89"/>
    </row>
    <row r="123" spans="1:8" ht="22.5" customHeight="1" x14ac:dyDescent="0.3">
      <c r="A123" s="80" t="s">
        <v>231</v>
      </c>
      <c r="B123" s="35">
        <v>6.9</v>
      </c>
      <c r="C123" s="36">
        <v>8.4</v>
      </c>
      <c r="D123" s="82">
        <f>182.8+B125</f>
        <v>199.10000000000002</v>
      </c>
      <c r="E123" s="91">
        <v>81</v>
      </c>
      <c r="F123" s="93" t="s">
        <v>232</v>
      </c>
      <c r="G123" s="93"/>
      <c r="H123" s="93"/>
    </row>
    <row r="124" spans="1:8" ht="22.5" customHeight="1" x14ac:dyDescent="0.3">
      <c r="A124" s="90"/>
      <c r="B124" s="35">
        <v>9.4</v>
      </c>
      <c r="C124" s="36">
        <v>9.4</v>
      </c>
      <c r="D124" s="83"/>
      <c r="E124" s="92"/>
      <c r="F124" s="94"/>
      <c r="G124" s="94"/>
      <c r="H124" s="94"/>
    </row>
    <row r="125" spans="1:8" ht="22.5" customHeight="1" x14ac:dyDescent="0.3">
      <c r="A125" s="31" t="s">
        <v>215</v>
      </c>
      <c r="B125" s="37">
        <f>SUM(B123:B124)</f>
        <v>16.3</v>
      </c>
      <c r="C125" s="38">
        <f>SUM(C123:C124)</f>
        <v>17.8</v>
      </c>
      <c r="D125" s="83"/>
      <c r="E125" s="92"/>
      <c r="F125" s="94"/>
      <c r="G125" s="94"/>
      <c r="H125" s="94"/>
    </row>
    <row r="126" spans="1:8" s="9" customFormat="1" ht="22.5" customHeight="1" x14ac:dyDescent="0.3">
      <c r="A126" s="39"/>
      <c r="B126" s="39"/>
      <c r="C126" s="39"/>
    </row>
    <row r="127" spans="1:8" ht="16.5" x14ac:dyDescent="0.3">
      <c r="A127" s="34"/>
      <c r="B127" s="34"/>
      <c r="C127" s="34"/>
      <c r="F127" s="34"/>
      <c r="G127" s="34"/>
    </row>
    <row r="128" spans="1:8" ht="22.15" customHeight="1" x14ac:dyDescent="0.3">
      <c r="A128" s="76" t="s">
        <v>233</v>
      </c>
      <c r="B128" s="76"/>
      <c r="C128" s="76"/>
      <c r="F128" s="34"/>
      <c r="G128" s="34"/>
    </row>
    <row r="129" spans="1:8" ht="32.450000000000003" customHeight="1" thickBot="1" x14ac:dyDescent="0.35">
      <c r="A129" s="34"/>
      <c r="B129" s="34"/>
      <c r="C129" s="34"/>
      <c r="E129" s="40"/>
      <c r="F129" s="34"/>
      <c r="G129" s="34"/>
    </row>
    <row r="130" spans="1:8" ht="23.25" customHeight="1" thickTop="1" x14ac:dyDescent="0.3">
      <c r="A130" s="41" t="s">
        <v>207</v>
      </c>
      <c r="B130" s="42" t="s">
        <v>208</v>
      </c>
      <c r="C130" s="43" t="s">
        <v>234</v>
      </c>
      <c r="D130" s="42" t="s">
        <v>235</v>
      </c>
      <c r="E130" s="43" t="s">
        <v>236</v>
      </c>
      <c r="F130" s="34"/>
      <c r="G130" s="34"/>
    </row>
    <row r="131" spans="1:8" ht="23.25" customHeight="1" x14ac:dyDescent="0.3">
      <c r="A131" s="44" t="s">
        <v>237</v>
      </c>
      <c r="B131" s="45">
        <v>200</v>
      </c>
      <c r="C131" s="46">
        <v>190</v>
      </c>
      <c r="D131" s="45">
        <v>240</v>
      </c>
      <c r="E131" s="46">
        <v>221</v>
      </c>
      <c r="F131" s="34"/>
      <c r="G131" s="47"/>
      <c r="H131" s="40"/>
    </row>
    <row r="132" spans="1:8" ht="23.25" customHeight="1" x14ac:dyDescent="0.3">
      <c r="A132" s="44" t="s">
        <v>238</v>
      </c>
      <c r="B132" s="45">
        <v>210</v>
      </c>
      <c r="C132" s="46">
        <v>185</v>
      </c>
      <c r="D132" s="45">
        <v>245</v>
      </c>
      <c r="E132" s="46">
        <v>197</v>
      </c>
      <c r="F132" s="47"/>
      <c r="G132" s="48"/>
      <c r="H132" s="40"/>
    </row>
    <row r="133" spans="1:8" ht="23.25" customHeight="1" x14ac:dyDescent="0.3">
      <c r="A133" s="44" t="s">
        <v>239</v>
      </c>
      <c r="B133" s="45">
        <v>225</v>
      </c>
      <c r="C133" s="46">
        <v>190</v>
      </c>
      <c r="D133" s="45">
        <v>280</v>
      </c>
      <c r="E133" s="46">
        <v>222</v>
      </c>
      <c r="G133" s="49"/>
      <c r="H133" s="40"/>
    </row>
    <row r="134" spans="1:8" ht="23.25" customHeight="1" thickBot="1" x14ac:dyDescent="0.35">
      <c r="A134" s="50" t="s">
        <v>240</v>
      </c>
      <c r="B134" s="51">
        <f>SUM(B131:B133)</f>
        <v>635</v>
      </c>
      <c r="C134" s="52">
        <f>SUM(C131:C133)</f>
        <v>565</v>
      </c>
      <c r="D134" s="51">
        <f>SUM(D131:D133)</f>
        <v>765</v>
      </c>
      <c r="E134" s="52">
        <f>SUM(E131:E133)</f>
        <v>640</v>
      </c>
      <c r="G134" s="49"/>
      <c r="H134" s="40"/>
    </row>
    <row r="135" spans="1:8" s="9" customFormat="1" ht="23.25" customHeight="1" thickTop="1" x14ac:dyDescent="0.3">
      <c r="A135" s="47"/>
      <c r="B135" s="53"/>
      <c r="C135" s="54"/>
      <c r="D135" s="53"/>
      <c r="E135" s="54"/>
      <c r="G135" s="49"/>
      <c r="H135" s="40"/>
    </row>
    <row r="136" spans="1:8" ht="23.25" customHeight="1" x14ac:dyDescent="0.3">
      <c r="A136" s="34"/>
      <c r="B136" s="34"/>
      <c r="C136" s="34"/>
      <c r="E136" s="40"/>
      <c r="G136" s="49"/>
      <c r="H136" s="40"/>
    </row>
    <row r="137" spans="1:8" ht="23.25" customHeight="1" x14ac:dyDescent="0.3">
      <c r="A137" s="76" t="s">
        <v>241</v>
      </c>
      <c r="B137" s="76"/>
      <c r="C137" s="76"/>
      <c r="G137" s="40"/>
      <c r="H137" s="40"/>
    </row>
    <row r="138" spans="1:8" ht="23.25" customHeight="1" x14ac:dyDescent="0.3">
      <c r="A138" s="23" t="s">
        <v>242</v>
      </c>
      <c r="D138" s="55"/>
      <c r="E138" s="56"/>
      <c r="G138" s="47"/>
      <c r="H138" s="40"/>
    </row>
    <row r="139" spans="1:8" ht="23.25" customHeight="1" x14ac:dyDescent="0.3">
      <c r="A139" s="57" t="s">
        <v>207</v>
      </c>
      <c r="B139" s="58" t="s">
        <v>208</v>
      </c>
      <c r="C139" s="59" t="s">
        <v>243</v>
      </c>
      <c r="D139" s="59" t="s">
        <v>244</v>
      </c>
      <c r="E139" s="59" t="s">
        <v>245</v>
      </c>
      <c r="F139" s="79" t="s">
        <v>246</v>
      </c>
      <c r="G139" s="79"/>
      <c r="H139" s="79"/>
    </row>
    <row r="140" spans="1:8" ht="49.15" customHeight="1" x14ac:dyDescent="0.3">
      <c r="A140" s="60" t="s">
        <v>247</v>
      </c>
      <c r="B140" s="61">
        <v>380</v>
      </c>
      <c r="C140" s="60">
        <v>460</v>
      </c>
      <c r="D140" s="62">
        <v>4077</v>
      </c>
      <c r="E140" s="63">
        <v>3232</v>
      </c>
      <c r="F140" s="78" t="s">
        <v>248</v>
      </c>
      <c r="G140" s="78"/>
      <c r="H140" s="78"/>
    </row>
    <row r="141" spans="1:8" ht="29.45" customHeight="1" x14ac:dyDescent="0.3">
      <c r="A141" s="60" t="s">
        <v>249</v>
      </c>
      <c r="B141" s="61">
        <v>145</v>
      </c>
      <c r="C141" s="60">
        <v>215</v>
      </c>
      <c r="D141" s="62">
        <v>1912</v>
      </c>
      <c r="E141" s="63">
        <v>1732</v>
      </c>
      <c r="F141" s="74" t="s">
        <v>250</v>
      </c>
      <c r="G141" s="74"/>
      <c r="H141" s="74"/>
    </row>
    <row r="142" spans="1:8" ht="29.45" customHeight="1" x14ac:dyDescent="0.3">
      <c r="A142" s="60" t="s">
        <v>251</v>
      </c>
      <c r="B142" s="61">
        <v>165</v>
      </c>
      <c r="C142" s="60">
        <v>189</v>
      </c>
      <c r="D142" s="62">
        <v>1302</v>
      </c>
      <c r="E142" s="63">
        <v>1317</v>
      </c>
      <c r="F142" s="78" t="s">
        <v>252</v>
      </c>
      <c r="G142" s="78"/>
      <c r="H142" s="78"/>
    </row>
    <row r="143" spans="1:8" ht="29.45" customHeight="1" x14ac:dyDescent="0.3">
      <c r="A143" s="60" t="s">
        <v>253</v>
      </c>
      <c r="B143" s="61">
        <v>86</v>
      </c>
      <c r="C143" s="60">
        <v>130</v>
      </c>
      <c r="D143" s="62">
        <v>1027</v>
      </c>
      <c r="E143" s="63">
        <v>933</v>
      </c>
      <c r="F143" s="78" t="s">
        <v>254</v>
      </c>
      <c r="G143" s="78"/>
      <c r="H143" s="78"/>
    </row>
    <row r="144" spans="1:8" ht="29.45" customHeight="1" x14ac:dyDescent="0.3">
      <c r="A144" s="60" t="s">
        <v>255</v>
      </c>
      <c r="B144" s="61">
        <v>85</v>
      </c>
      <c r="C144" s="60">
        <v>124</v>
      </c>
      <c r="D144" s="62">
        <v>992</v>
      </c>
      <c r="E144" s="63">
        <v>816</v>
      </c>
      <c r="F144" s="78" t="s">
        <v>254</v>
      </c>
      <c r="G144" s="78"/>
      <c r="H144" s="78"/>
    </row>
    <row r="145" spans="1:9" ht="25.9" customHeight="1" x14ac:dyDescent="0.3">
      <c r="A145" s="60" t="s">
        <v>256</v>
      </c>
      <c r="B145" s="61">
        <v>72</v>
      </c>
      <c r="C145" s="60">
        <v>100</v>
      </c>
      <c r="D145" s="62">
        <v>817</v>
      </c>
      <c r="E145" s="63">
        <v>730</v>
      </c>
      <c r="F145" s="74" t="s">
        <v>257</v>
      </c>
      <c r="G145" s="74"/>
      <c r="H145" s="74"/>
      <c r="I145" s="34"/>
    </row>
    <row r="146" spans="1:9" ht="30" customHeight="1" x14ac:dyDescent="0.3">
      <c r="A146" s="60" t="s">
        <v>258</v>
      </c>
      <c r="B146" s="61">
        <v>55</v>
      </c>
      <c r="C146" s="60">
        <v>80</v>
      </c>
      <c r="D146" s="62">
        <v>663</v>
      </c>
      <c r="E146" s="63">
        <v>570</v>
      </c>
      <c r="F146" s="74" t="s">
        <v>259</v>
      </c>
      <c r="G146" s="74"/>
      <c r="H146" s="74"/>
      <c r="I146" s="65"/>
    </row>
    <row r="147" spans="1:9" ht="30" customHeight="1" x14ac:dyDescent="0.3">
      <c r="A147" s="60" t="s">
        <v>260</v>
      </c>
      <c r="B147" s="61">
        <v>48</v>
      </c>
      <c r="C147" s="60">
        <v>50</v>
      </c>
      <c r="D147" s="62">
        <v>471</v>
      </c>
      <c r="E147" s="63">
        <v>457</v>
      </c>
      <c r="F147" s="78" t="s">
        <v>261</v>
      </c>
      <c r="G147" s="78"/>
      <c r="H147" s="78"/>
      <c r="I147" s="34"/>
    </row>
    <row r="148" spans="1:9" ht="30.6" customHeight="1" x14ac:dyDescent="0.3">
      <c r="A148" s="60" t="s">
        <v>262</v>
      </c>
      <c r="B148" s="61">
        <v>40</v>
      </c>
      <c r="C148" s="60">
        <v>54</v>
      </c>
      <c r="D148" s="62">
        <v>450</v>
      </c>
      <c r="E148" s="63">
        <v>389</v>
      </c>
      <c r="F148" s="74" t="s">
        <v>263</v>
      </c>
      <c r="G148" s="74"/>
      <c r="H148" s="74"/>
      <c r="I148" s="34"/>
    </row>
    <row r="149" spans="1:9" ht="30.6" customHeight="1" x14ac:dyDescent="0.3">
      <c r="A149" s="60" t="s">
        <v>264</v>
      </c>
      <c r="B149" s="61">
        <v>40</v>
      </c>
      <c r="C149" s="60">
        <v>51</v>
      </c>
      <c r="D149" s="62">
        <v>371</v>
      </c>
      <c r="E149" s="63">
        <v>282</v>
      </c>
      <c r="F149" s="74" t="s">
        <v>265</v>
      </c>
      <c r="G149" s="74"/>
      <c r="H149" s="74"/>
      <c r="I149" s="34"/>
    </row>
    <row r="150" spans="1:9" ht="25.9" customHeight="1" x14ac:dyDescent="0.3">
      <c r="A150" s="60" t="s">
        <v>266</v>
      </c>
      <c r="B150" s="61">
        <v>23</v>
      </c>
      <c r="C150" s="60">
        <v>28</v>
      </c>
      <c r="D150" s="64">
        <v>232</v>
      </c>
      <c r="E150" s="63">
        <v>252</v>
      </c>
      <c r="F150" s="74" t="s">
        <v>267</v>
      </c>
      <c r="G150" s="74"/>
      <c r="H150" s="74"/>
      <c r="I150" s="34"/>
    </row>
    <row r="151" spans="1:9" ht="29.45" customHeight="1" x14ac:dyDescent="0.3">
      <c r="A151" s="66" t="s">
        <v>268</v>
      </c>
      <c r="B151" s="67">
        <v>14</v>
      </c>
      <c r="C151" s="66">
        <v>23</v>
      </c>
      <c r="D151" s="68">
        <v>197</v>
      </c>
      <c r="E151" s="69">
        <v>169</v>
      </c>
      <c r="F151" s="75" t="s">
        <v>254</v>
      </c>
      <c r="G151" s="75"/>
      <c r="H151" s="75"/>
      <c r="I151" s="34"/>
    </row>
    <row r="152" spans="1:9" ht="25.9" customHeight="1" x14ac:dyDescent="0.3">
      <c r="A152" s="65"/>
      <c r="B152" s="70"/>
      <c r="C152" s="34"/>
      <c r="I152" s="34"/>
    </row>
    <row r="153" spans="1:9" ht="22.15" customHeight="1" x14ac:dyDescent="0.3">
      <c r="A153" s="76" t="s">
        <v>269</v>
      </c>
      <c r="B153" s="76"/>
      <c r="C153" s="76"/>
      <c r="I153" s="34"/>
    </row>
    <row r="154" spans="1:9" ht="25.9" customHeight="1" x14ac:dyDescent="0.3">
      <c r="A154" s="71" t="s">
        <v>270</v>
      </c>
      <c r="I154" s="34"/>
    </row>
    <row r="155" spans="1:9" ht="38.450000000000003" customHeight="1" x14ac:dyDescent="0.3">
      <c r="A155" s="77" t="s">
        <v>271</v>
      </c>
      <c r="B155" s="77"/>
      <c r="C155" s="77"/>
      <c r="D155" s="77"/>
      <c r="E155" s="77"/>
      <c r="F155" s="77"/>
      <c r="G155" s="72"/>
      <c r="H155" s="72"/>
      <c r="I155" s="72"/>
    </row>
    <row r="156" spans="1:9" ht="16.5" x14ac:dyDescent="0.3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ht="22.5" customHeight="1" x14ac:dyDescent="0.3">
      <c r="A157" s="23" t="s">
        <v>272</v>
      </c>
      <c r="G157" s="72"/>
      <c r="H157" s="72"/>
      <c r="I157" s="34"/>
    </row>
    <row r="158" spans="1:9" ht="22.5" customHeight="1" x14ac:dyDescent="0.3">
      <c r="D158" s="72"/>
      <c r="E158" s="72"/>
      <c r="F158" s="72"/>
      <c r="G158" s="72"/>
      <c r="H158" s="72"/>
    </row>
    <row r="159" spans="1:9" ht="22.15" customHeight="1" x14ac:dyDescent="0.3">
      <c r="D159" s="73"/>
      <c r="E159" s="73"/>
      <c r="F159" s="72"/>
    </row>
    <row r="160" spans="1:9" ht="22.5" customHeight="1" x14ac:dyDescent="0.3">
      <c r="G160" s="72"/>
      <c r="H160" s="72"/>
    </row>
    <row r="161" spans="1:6" ht="34.5" customHeight="1" x14ac:dyDescent="0.3">
      <c r="F161" s="72"/>
    </row>
    <row r="162" spans="1:6" ht="22.5" customHeight="1" x14ac:dyDescent="0.3">
      <c r="F162" s="73"/>
    </row>
    <row r="166" spans="1:6" ht="22.5" customHeight="1" x14ac:dyDescent="0.3">
      <c r="A166" s="23" t="s">
        <v>273</v>
      </c>
    </row>
    <row r="185" spans="1:1" ht="22.5" customHeight="1" x14ac:dyDescent="0.3">
      <c r="A185" s="71"/>
    </row>
  </sheetData>
  <mergeCells count="142">
    <mergeCell ref="A11:I11"/>
    <mergeCell ref="A12:G12"/>
    <mergeCell ref="A13:I13"/>
    <mergeCell ref="A14:I14"/>
    <mergeCell ref="A15:I15"/>
    <mergeCell ref="A16:I16"/>
    <mergeCell ref="A2:C2"/>
    <mergeCell ref="A6:I6"/>
    <mergeCell ref="A7:H7"/>
    <mergeCell ref="A8:I8"/>
    <mergeCell ref="A9:H9"/>
    <mergeCell ref="A10:H10"/>
    <mergeCell ref="A23:H23"/>
    <mergeCell ref="A24:H24"/>
    <mergeCell ref="A25:I25"/>
    <mergeCell ref="A26:H26"/>
    <mergeCell ref="A27:I27"/>
    <mergeCell ref="A28:I28"/>
    <mergeCell ref="A17:I17"/>
    <mergeCell ref="A18:I18"/>
    <mergeCell ref="A19:I19"/>
    <mergeCell ref="A20:I20"/>
    <mergeCell ref="A21:I21"/>
    <mergeCell ref="A22:I22"/>
    <mergeCell ref="A35:I35"/>
    <mergeCell ref="A36:I36"/>
    <mergeCell ref="A38:C38"/>
    <mergeCell ref="E40:F40"/>
    <mergeCell ref="E41:F41"/>
    <mergeCell ref="E42:F42"/>
    <mergeCell ref="A29:I29"/>
    <mergeCell ref="A30:I30"/>
    <mergeCell ref="A31:I31"/>
    <mergeCell ref="A32:I32"/>
    <mergeCell ref="A33:I33"/>
    <mergeCell ref="A34:F34"/>
    <mergeCell ref="E49:F49"/>
    <mergeCell ref="E50:F50"/>
    <mergeCell ref="E51:F51"/>
    <mergeCell ref="E52:F52"/>
    <mergeCell ref="E53:F53"/>
    <mergeCell ref="E54:F54"/>
    <mergeCell ref="E43:F43"/>
    <mergeCell ref="E44:F44"/>
    <mergeCell ref="E45:F45"/>
    <mergeCell ref="E46:F46"/>
    <mergeCell ref="E47:F47"/>
    <mergeCell ref="E48:F48"/>
    <mergeCell ref="E61:F61"/>
    <mergeCell ref="E62:F62"/>
    <mergeCell ref="E63:F63"/>
    <mergeCell ref="E64:F64"/>
    <mergeCell ref="E65:F65"/>
    <mergeCell ref="E66:F66"/>
    <mergeCell ref="E55:F55"/>
    <mergeCell ref="E56:F56"/>
    <mergeCell ref="E57:F57"/>
    <mergeCell ref="E58:F58"/>
    <mergeCell ref="E59:F59"/>
    <mergeCell ref="E60:F60"/>
    <mergeCell ref="E73:F73"/>
    <mergeCell ref="E74:F74"/>
    <mergeCell ref="E75:F75"/>
    <mergeCell ref="E76:F76"/>
    <mergeCell ref="E77:F77"/>
    <mergeCell ref="E78:F78"/>
    <mergeCell ref="E67:F67"/>
    <mergeCell ref="E68:F68"/>
    <mergeCell ref="E69:F69"/>
    <mergeCell ref="E70:F70"/>
    <mergeCell ref="E71:F71"/>
    <mergeCell ref="E72:F72"/>
    <mergeCell ref="E86:F86"/>
    <mergeCell ref="E87:F87"/>
    <mergeCell ref="E88:F88"/>
    <mergeCell ref="E89:F89"/>
    <mergeCell ref="E90:F90"/>
    <mergeCell ref="A92:D92"/>
    <mergeCell ref="E79:F79"/>
    <mergeCell ref="E80:F80"/>
    <mergeCell ref="E81:F81"/>
    <mergeCell ref="E82:F82"/>
    <mergeCell ref="E83:F83"/>
    <mergeCell ref="E84:F84"/>
    <mergeCell ref="A102:A103"/>
    <mergeCell ref="D102:D104"/>
    <mergeCell ref="E102:E104"/>
    <mergeCell ref="F102:H104"/>
    <mergeCell ref="A105:A106"/>
    <mergeCell ref="D105:D107"/>
    <mergeCell ref="E105:E107"/>
    <mergeCell ref="F105:H107"/>
    <mergeCell ref="F95:H95"/>
    <mergeCell ref="A96:A97"/>
    <mergeCell ref="D96:D98"/>
    <mergeCell ref="E96:E98"/>
    <mergeCell ref="F96:H98"/>
    <mergeCell ref="A99:A100"/>
    <mergeCell ref="D99:D101"/>
    <mergeCell ref="E99:E101"/>
    <mergeCell ref="F99:H101"/>
    <mergeCell ref="A114:A115"/>
    <mergeCell ref="D114:D116"/>
    <mergeCell ref="E114:E116"/>
    <mergeCell ref="F114:H116"/>
    <mergeCell ref="A117:A118"/>
    <mergeCell ref="D117:D119"/>
    <mergeCell ref="E117:E119"/>
    <mergeCell ref="F117:H119"/>
    <mergeCell ref="A108:A109"/>
    <mergeCell ref="D108:D110"/>
    <mergeCell ref="E108:E110"/>
    <mergeCell ref="F108:H110"/>
    <mergeCell ref="A111:A112"/>
    <mergeCell ref="D111:D113"/>
    <mergeCell ref="E111:E113"/>
    <mergeCell ref="F111:H113"/>
    <mergeCell ref="A128:C128"/>
    <mergeCell ref="A137:C137"/>
    <mergeCell ref="F139:H139"/>
    <mergeCell ref="F140:H140"/>
    <mergeCell ref="F141:H141"/>
    <mergeCell ref="F142:H142"/>
    <mergeCell ref="A120:A121"/>
    <mergeCell ref="D120:D122"/>
    <mergeCell ref="E120:E122"/>
    <mergeCell ref="F120:H122"/>
    <mergeCell ref="A123:A124"/>
    <mergeCell ref="D123:D125"/>
    <mergeCell ref="E123:E125"/>
    <mergeCell ref="F123:H125"/>
    <mergeCell ref="F149:H149"/>
    <mergeCell ref="F150:H150"/>
    <mergeCell ref="F151:H151"/>
    <mergeCell ref="A153:C153"/>
    <mergeCell ref="A155:F155"/>
    <mergeCell ref="F143:H143"/>
    <mergeCell ref="F144:H144"/>
    <mergeCell ref="F145:H145"/>
    <mergeCell ref="F146:H146"/>
    <mergeCell ref="F147:H147"/>
    <mergeCell ref="F148:H148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2021.10</vt:lpstr>
      <vt:lpstr>'2021.10'!Print_Area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broadband</dc:creator>
  <cp:lastModifiedBy>SKB</cp:lastModifiedBy>
  <dcterms:created xsi:type="dcterms:W3CDTF">2021-10-05T08:51:46Z</dcterms:created>
  <dcterms:modified xsi:type="dcterms:W3CDTF">2021-10-05T09:22:46Z</dcterms:modified>
</cp:coreProperties>
</file>